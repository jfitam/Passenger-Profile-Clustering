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renfearabia.sharepoint.com/sites/DemandAnalysis/Shared Documents/Analytics/Ad Hoc/Passenger Profile/Clusters/"/>
    </mc:Choice>
  </mc:AlternateContent>
  <xr:revisionPtr revIDLastSave="2" documentId="13_ncr:1_{757CE134-0E27-4E61-8864-11F2606CA9BE}" xr6:coauthVersionLast="47" xr6:coauthVersionMax="47" xr10:uidLastSave="{B076F439-F187-4445-B10F-67FA53B84051}"/>
  <bookViews>
    <workbookView xWindow="-120" yWindow="-120" windowWidth="29040" windowHeight="15720" firstSheet="2" activeTab="7" xr2:uid="{00000000-000D-0000-FFFF-FFFF00000000}"/>
  </bookViews>
  <sheets>
    <sheet name="cluster_0_stats" sheetId="1" r:id="rId1"/>
    <sheet name="cluster_0_nationalities" sheetId="2" r:id="rId2"/>
    <sheet name="cluster_1_stats" sheetId="3" r:id="rId3"/>
    <sheet name="cluster_1_nationalities" sheetId="4" r:id="rId4"/>
    <sheet name="cluster_2_stats" sheetId="5" r:id="rId5"/>
    <sheet name="cluster_2_nationalities" sheetId="6" r:id="rId6"/>
    <sheet name="cluster_3_stats" sheetId="7" r:id="rId7"/>
    <sheet name="cluster_3_nationalities" sheetId="8" r:id="rId8"/>
    <sheet name="cluster_4_stats" sheetId="9" r:id="rId9"/>
    <sheet name="cluster_4_nationalities" sheetId="10" r:id="rId10"/>
    <sheet name="cluster_5_stats" sheetId="11" r:id="rId11"/>
    <sheet name="cluster_5_nationalities" sheetId="12" r:id="rId12"/>
    <sheet name="cluster_6_stats" sheetId="13" r:id="rId13"/>
    <sheet name="cluster_6_nationalities" sheetId="14" r:id="rId14"/>
    <sheet name="cluster_7_stats" sheetId="15" r:id="rId15"/>
    <sheet name="cluster_7_nationalities" sheetId="16" r:id="rId16"/>
    <sheet name="cluster 6 + 7" sheetId="17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7" l="1"/>
  <c r="M4" i="17"/>
  <c r="M5" i="17"/>
  <c r="M6" i="17"/>
  <c r="M7" i="17"/>
  <c r="M8" i="17"/>
  <c r="M9" i="17"/>
  <c r="M10" i="17"/>
  <c r="M11" i="17"/>
  <c r="M12" i="17"/>
  <c r="M13" i="17"/>
  <c r="M2" i="17"/>
  <c r="N3" i="17"/>
  <c r="N4" i="17"/>
  <c r="N5" i="17"/>
  <c r="N6" i="17"/>
  <c r="N7" i="17"/>
  <c r="N8" i="17"/>
  <c r="N9" i="17"/>
  <c r="N10" i="17"/>
  <c r="N11" i="17"/>
  <c r="N12" i="17"/>
  <c r="N13" i="17"/>
  <c r="N2" i="17"/>
  <c r="L2" i="17" a="1"/>
  <c r="L2" i="17" s="1"/>
  <c r="I11" i="17"/>
  <c r="I10" i="17"/>
  <c r="I9" i="17"/>
  <c r="I8" i="17"/>
  <c r="I7" i="17"/>
  <c r="I6" i="17"/>
  <c r="I5" i="17"/>
  <c r="I4" i="17"/>
  <c r="I3" i="17"/>
  <c r="I2" i="17"/>
  <c r="D3" i="17"/>
  <c r="D4" i="17"/>
  <c r="D5" i="17"/>
  <c r="D6" i="17"/>
  <c r="D7" i="17"/>
  <c r="D8" i="17"/>
  <c r="D9" i="17"/>
  <c r="D10" i="17"/>
  <c r="D11" i="17"/>
  <c r="D2" i="1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<sst xmlns="http://schemas.openxmlformats.org/spreadsheetml/2006/main" count="567" uniqueCount="82">
  <si>
    <t>count</t>
  </si>
  <si>
    <t>mean</t>
  </si>
  <si>
    <t>std</t>
  </si>
  <si>
    <t>min</t>
  </si>
  <si>
    <t>25%</t>
  </si>
  <si>
    <t>50%</t>
  </si>
  <si>
    <t>75%</t>
  </si>
  <si>
    <t>max</t>
  </si>
  <si>
    <t>num_travels</t>
  </si>
  <si>
    <t>average_price</t>
  </si>
  <si>
    <t>price_stddev</t>
  </si>
  <si>
    <t>avg_advance_days</t>
  </si>
  <si>
    <t>avg_group_size</t>
  </si>
  <si>
    <t>travels_economy</t>
  </si>
  <si>
    <t>travels_business</t>
  </si>
  <si>
    <t>travels_weekday</t>
  </si>
  <si>
    <t>travels_thu_sat</t>
  </si>
  <si>
    <t>travels_fri</t>
  </si>
  <si>
    <t>travels_mak_jed</t>
  </si>
  <si>
    <t>travels_mak_kaec</t>
  </si>
  <si>
    <t>travels_mak_mad</t>
  </si>
  <si>
    <t>travels_jed_kaec</t>
  </si>
  <si>
    <t>travels_jed_mad</t>
  </si>
  <si>
    <t>travels_kaec_mad</t>
  </si>
  <si>
    <t>travels_mak_kaia</t>
  </si>
  <si>
    <t>travels_jed_kaia</t>
  </si>
  <si>
    <t>travels_kaia_kaec</t>
  </si>
  <si>
    <t>travels_kaia_mad</t>
  </si>
  <si>
    <t>travels_jed_mak</t>
  </si>
  <si>
    <t>travels_kaec_mak</t>
  </si>
  <si>
    <t>travels_mad_mak</t>
  </si>
  <si>
    <t>travels_kaec_jed</t>
  </si>
  <si>
    <t>travels_mad_jed</t>
  </si>
  <si>
    <t>travels_mad_kaec</t>
  </si>
  <si>
    <t>travels_kaia_mak</t>
  </si>
  <si>
    <t>travels_kaia_jed</t>
  </si>
  <si>
    <t>travels_kaec_kaia</t>
  </si>
  <si>
    <t>travels_mad_kaia</t>
  </si>
  <si>
    <t>unique_routes</t>
  </si>
  <si>
    <t>travels_late_night</t>
  </si>
  <si>
    <t>travels_early_morning</t>
  </si>
  <si>
    <t>travels_morning</t>
  </si>
  <si>
    <t>travels_afternoon</t>
  </si>
  <si>
    <t>travels_evening</t>
  </si>
  <si>
    <t>travels_early_night</t>
  </si>
  <si>
    <t>purchases_app</t>
  </si>
  <si>
    <t>purchases_web</t>
  </si>
  <si>
    <t>purchases_tvm</t>
  </si>
  <si>
    <t>purchases_tom</t>
  </si>
  <si>
    <t>travels_ramadan</t>
  </si>
  <si>
    <t>travels_hajj</t>
  </si>
  <si>
    <t>travels_no_peak_season</t>
  </si>
  <si>
    <t>cluster</t>
  </si>
  <si>
    <t>is_female</t>
  </si>
  <si>
    <t>is_resident</t>
  </si>
  <si>
    <t>nationality</t>
  </si>
  <si>
    <t>percentage</t>
  </si>
  <si>
    <t>SA</t>
  </si>
  <si>
    <t>EG</t>
  </si>
  <si>
    <t>PK</t>
  </si>
  <si>
    <t>YE</t>
  </si>
  <si>
    <t>IN</t>
  </si>
  <si>
    <t>SD</t>
  </si>
  <si>
    <t>ID</t>
  </si>
  <si>
    <t>GB</t>
  </si>
  <si>
    <t>US</t>
  </si>
  <si>
    <t>BD</t>
  </si>
  <si>
    <t>FR</t>
  </si>
  <si>
    <t>AE</t>
  </si>
  <si>
    <t>KW</t>
  </si>
  <si>
    <t>TR</t>
  </si>
  <si>
    <t>MY</t>
  </si>
  <si>
    <t>IR</t>
  </si>
  <si>
    <t>MV</t>
  </si>
  <si>
    <t>LY</t>
  </si>
  <si>
    <t>SG</t>
  </si>
  <si>
    <t>SY</t>
  </si>
  <si>
    <t>KZ</t>
  </si>
  <si>
    <t>AF</t>
  </si>
  <si>
    <t>IQ</t>
  </si>
  <si>
    <t>UZ</t>
  </si>
  <si>
    <t>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</si>
</sst>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164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8"/>
  <sheetViews>
    <sheetView topLeftCell="A34" workbookViewId="0">
      <selection activeCell="A47" sqref="A47:C48"/>
    </sheetView>
  </sheetViews>
  <sheetFormatPr defaultRowHeight="15" x14ac:dyDescent="0.25"/>
  <cols>
    <col min="1" max="1" width="23.140625" bestFit="1" customWidth="1"/>
    <col min="3" max="3" width="9.5703125" bestFit="1" customWidth="1"/>
    <col min="4" max="4" width="9.28515625" bestFit="1" customWidth="1"/>
  </cols>
  <sheetData>
    <row r="1" spans="1: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1" t="s">
        <v>8</v>
      </c>
      <c r="B2">
        <v>745627</v>
      </c>
      <c r="C2" s="2">
        <v>2.6368720553306142</v>
      </c>
      <c r="D2" s="2">
        <v>1.3330199041016311</v>
      </c>
      <c r="E2">
        <v>2</v>
      </c>
      <c r="F2">
        <v>2</v>
      </c>
      <c r="G2">
        <v>2</v>
      </c>
      <c r="H2">
        <v>3</v>
      </c>
      <c r="I2">
        <v>11</v>
      </c>
    </row>
    <row r="3" spans="1:9" x14ac:dyDescent="0.25">
      <c r="A3" s="1" t="s">
        <v>9</v>
      </c>
      <c r="B3">
        <v>745627</v>
      </c>
      <c r="C3" s="2">
        <v>135.0507507324219</v>
      </c>
      <c r="D3" s="2">
        <v>65.164031982421875</v>
      </c>
      <c r="E3">
        <v>0</v>
      </c>
      <c r="F3">
        <v>86.25</v>
      </c>
      <c r="G3">
        <v>129.49000549316409</v>
      </c>
      <c r="H3">
        <v>181.69999694824219</v>
      </c>
      <c r="I3">
        <v>415.010009765625</v>
      </c>
    </row>
    <row r="4" spans="1:9" x14ac:dyDescent="0.25">
      <c r="A4" s="1" t="s">
        <v>10</v>
      </c>
      <c r="B4">
        <v>745627</v>
      </c>
      <c r="C4" s="2">
        <v>28.866786956787109</v>
      </c>
      <c r="D4" s="2">
        <v>34.288166046142578</v>
      </c>
      <c r="E4">
        <v>0</v>
      </c>
      <c r="F4">
        <v>0</v>
      </c>
      <c r="G4">
        <v>18</v>
      </c>
      <c r="H4">
        <v>47</v>
      </c>
      <c r="I4">
        <v>361</v>
      </c>
    </row>
    <row r="5" spans="1:9" x14ac:dyDescent="0.25">
      <c r="A5" s="1" t="s">
        <v>11</v>
      </c>
      <c r="B5">
        <v>739835</v>
      </c>
      <c r="C5" s="2">
        <v>5.3184695243835449</v>
      </c>
      <c r="D5" s="2">
        <v>5.8636441230773926</v>
      </c>
      <c r="E5">
        <v>-5.5</v>
      </c>
      <c r="F5">
        <v>1.5</v>
      </c>
      <c r="G5">
        <v>3.2999999523162842</v>
      </c>
      <c r="H5">
        <v>7</v>
      </c>
      <c r="I5">
        <v>51.200000762939453</v>
      </c>
    </row>
    <row r="6" spans="1:9" x14ac:dyDescent="0.25">
      <c r="A6" s="1" t="s">
        <v>12</v>
      </c>
      <c r="B6">
        <v>745627</v>
      </c>
      <c r="C6" s="2">
        <v>5.7982463836669922</v>
      </c>
      <c r="D6" s="2">
        <v>4.740447998046875</v>
      </c>
      <c r="E6">
        <v>1</v>
      </c>
      <c r="F6">
        <v>3</v>
      </c>
      <c r="G6">
        <v>4</v>
      </c>
      <c r="H6">
        <v>8</v>
      </c>
      <c r="I6">
        <v>148</v>
      </c>
    </row>
    <row r="7" spans="1:9" x14ac:dyDescent="0.25">
      <c r="A7" s="1" t="s">
        <v>13</v>
      </c>
      <c r="B7">
        <v>745627</v>
      </c>
      <c r="C7" s="2">
        <v>0.86871093511581421</v>
      </c>
      <c r="D7" s="2">
        <v>0.27560165524482733</v>
      </c>
      <c r="E7">
        <v>0</v>
      </c>
      <c r="F7">
        <v>1</v>
      </c>
      <c r="G7">
        <v>1</v>
      </c>
      <c r="H7">
        <v>1</v>
      </c>
      <c r="I7">
        <v>1</v>
      </c>
    </row>
    <row r="8" spans="1:9" x14ac:dyDescent="0.25">
      <c r="A8" s="1" t="s">
        <v>14</v>
      </c>
      <c r="B8">
        <v>745627</v>
      </c>
      <c r="C8" s="2">
        <v>0.13131831586360929</v>
      </c>
      <c r="D8" s="2">
        <v>0.27561596035957342</v>
      </c>
      <c r="E8">
        <v>0</v>
      </c>
      <c r="F8">
        <v>0</v>
      </c>
      <c r="G8">
        <v>0</v>
      </c>
      <c r="H8">
        <v>0</v>
      </c>
      <c r="I8">
        <v>1</v>
      </c>
    </row>
    <row r="9" spans="1:9" x14ac:dyDescent="0.25">
      <c r="A9" s="1" t="s">
        <v>15</v>
      </c>
      <c r="B9">
        <v>745627</v>
      </c>
      <c r="C9" s="2">
        <v>0.52812874317169189</v>
      </c>
      <c r="D9" s="2">
        <v>0.3757418692111969</v>
      </c>
      <c r="E9">
        <v>0</v>
      </c>
      <c r="F9">
        <v>0.20000000298023221</v>
      </c>
      <c r="G9">
        <v>0.5</v>
      </c>
      <c r="H9">
        <v>1</v>
      </c>
      <c r="I9">
        <v>1</v>
      </c>
    </row>
    <row r="10" spans="1:9" x14ac:dyDescent="0.25">
      <c r="A10" s="1" t="s">
        <v>16</v>
      </c>
      <c r="B10">
        <v>745627</v>
      </c>
      <c r="C10" s="2">
        <v>0.31999576091766357</v>
      </c>
      <c r="D10" s="2">
        <v>0.33785179257392878</v>
      </c>
      <c r="E10">
        <v>0</v>
      </c>
      <c r="F10">
        <v>0</v>
      </c>
      <c r="G10">
        <v>0.33000001311302191</v>
      </c>
      <c r="H10">
        <v>0.5</v>
      </c>
      <c r="I10">
        <v>1</v>
      </c>
    </row>
    <row r="11" spans="1:9" x14ac:dyDescent="0.25">
      <c r="A11" s="1" t="s">
        <v>17</v>
      </c>
      <c r="B11">
        <v>745627</v>
      </c>
      <c r="C11" s="2">
        <v>0.15182313323020941</v>
      </c>
      <c r="D11" s="2">
        <v>0.25788378715515142</v>
      </c>
      <c r="E11">
        <v>0</v>
      </c>
      <c r="F11">
        <v>0</v>
      </c>
      <c r="G11">
        <v>0</v>
      </c>
      <c r="H11">
        <v>0.33000001311302191</v>
      </c>
      <c r="I11">
        <v>1</v>
      </c>
    </row>
    <row r="12" spans="1:9" x14ac:dyDescent="0.25">
      <c r="A12" s="1" t="s">
        <v>18</v>
      </c>
      <c r="B12">
        <v>745627</v>
      </c>
      <c r="C12" s="2">
        <v>4.0086697787046432E-2</v>
      </c>
      <c r="D12" s="2">
        <v>0.13637752830982211</v>
      </c>
      <c r="E12">
        <v>0</v>
      </c>
      <c r="F12">
        <v>0</v>
      </c>
      <c r="G12">
        <v>0</v>
      </c>
      <c r="H12">
        <v>0</v>
      </c>
      <c r="I12">
        <v>1</v>
      </c>
    </row>
    <row r="13" spans="1:9" x14ac:dyDescent="0.25">
      <c r="A13" s="1" t="s">
        <v>19</v>
      </c>
      <c r="B13">
        <v>745627</v>
      </c>
      <c r="C13" s="2">
        <v>2.0157666876912121E-3</v>
      </c>
      <c r="D13" s="2">
        <v>3.0586343258619308E-2</v>
      </c>
      <c r="E13">
        <v>0</v>
      </c>
      <c r="F13">
        <v>0</v>
      </c>
      <c r="G13">
        <v>0</v>
      </c>
      <c r="H13">
        <v>0</v>
      </c>
      <c r="I13">
        <v>1</v>
      </c>
    </row>
    <row r="14" spans="1:9" x14ac:dyDescent="0.25">
      <c r="A14" s="1" t="s">
        <v>20</v>
      </c>
      <c r="B14">
        <v>745627</v>
      </c>
      <c r="C14" s="2">
        <v>0.32934156060218811</v>
      </c>
      <c r="D14" s="2">
        <v>0.23946425318717959</v>
      </c>
      <c r="E14">
        <v>0</v>
      </c>
      <c r="F14">
        <v>0</v>
      </c>
      <c r="G14">
        <v>0.5</v>
      </c>
      <c r="H14">
        <v>0.5</v>
      </c>
      <c r="I14">
        <v>1</v>
      </c>
    </row>
    <row r="15" spans="1:9" x14ac:dyDescent="0.25">
      <c r="A15" s="1" t="s">
        <v>21</v>
      </c>
      <c r="B15">
        <v>745627</v>
      </c>
      <c r="C15" s="2">
        <v>1.8801359692588451E-3</v>
      </c>
      <c r="D15" s="2">
        <v>2.953456342220306E-2</v>
      </c>
      <c r="E15">
        <v>0</v>
      </c>
      <c r="F15">
        <v>0</v>
      </c>
      <c r="G15">
        <v>0</v>
      </c>
      <c r="H15">
        <v>0</v>
      </c>
      <c r="I15">
        <v>1</v>
      </c>
    </row>
    <row r="16" spans="1:9" x14ac:dyDescent="0.25">
      <c r="A16" s="1" t="s">
        <v>22</v>
      </c>
      <c r="B16">
        <v>745627</v>
      </c>
      <c r="C16" s="2">
        <v>0.1243351474404335</v>
      </c>
      <c r="D16" s="2">
        <v>0.21413496136665339</v>
      </c>
      <c r="E16">
        <v>0</v>
      </c>
      <c r="F16">
        <v>0</v>
      </c>
      <c r="G16">
        <v>0</v>
      </c>
      <c r="H16">
        <v>0.25</v>
      </c>
      <c r="I16">
        <v>1</v>
      </c>
    </row>
    <row r="17" spans="1:9" x14ac:dyDescent="0.25">
      <c r="A17" s="1" t="s">
        <v>23</v>
      </c>
      <c r="B17">
        <v>745627</v>
      </c>
      <c r="C17" s="2">
        <v>1.9286319147795441E-3</v>
      </c>
      <c r="D17" s="2">
        <v>3.036349639296532E-2</v>
      </c>
      <c r="E17">
        <v>0</v>
      </c>
      <c r="F17">
        <v>0</v>
      </c>
      <c r="G17">
        <v>0</v>
      </c>
      <c r="H17">
        <v>0</v>
      </c>
      <c r="I17">
        <v>1</v>
      </c>
    </row>
    <row r="18" spans="1:9" x14ac:dyDescent="0.25">
      <c r="A18" s="1" t="s">
        <v>24</v>
      </c>
      <c r="B18">
        <v>745627</v>
      </c>
      <c r="C18" s="2">
        <v>0</v>
      </c>
      <c r="D18" s="2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5">
      <c r="A19" s="1" t="s">
        <v>25</v>
      </c>
      <c r="B19">
        <v>745627</v>
      </c>
      <c r="C19" s="2">
        <v>0</v>
      </c>
      <c r="D19" s="2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25">
      <c r="A20" s="1" t="s">
        <v>26</v>
      </c>
      <c r="B20">
        <v>745627</v>
      </c>
      <c r="C20" s="2">
        <v>0</v>
      </c>
      <c r="D20" s="2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 x14ac:dyDescent="0.25">
      <c r="A21" s="1" t="s">
        <v>27</v>
      </c>
      <c r="B21">
        <v>745627</v>
      </c>
      <c r="C21" s="2">
        <v>0</v>
      </c>
      <c r="D21" s="2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x14ac:dyDescent="0.25">
      <c r="A22" s="1" t="s">
        <v>28</v>
      </c>
      <c r="B22">
        <v>745627</v>
      </c>
      <c r="C22" s="2">
        <v>3.9338003844022751E-2</v>
      </c>
      <c r="D22" s="2">
        <v>0.13596989214420321</v>
      </c>
      <c r="E22">
        <v>0</v>
      </c>
      <c r="F22">
        <v>0</v>
      </c>
      <c r="G22">
        <v>0</v>
      </c>
      <c r="H22">
        <v>0</v>
      </c>
      <c r="I22">
        <v>1</v>
      </c>
    </row>
    <row r="23" spans="1:9" x14ac:dyDescent="0.25">
      <c r="A23" s="1" t="s">
        <v>29</v>
      </c>
      <c r="B23">
        <v>745627</v>
      </c>
      <c r="C23" s="2">
        <v>1.9685849547386169E-3</v>
      </c>
      <c r="D23" s="2">
        <v>3.041772730648518E-2</v>
      </c>
      <c r="E23">
        <v>0</v>
      </c>
      <c r="F23">
        <v>0</v>
      </c>
      <c r="G23">
        <v>0</v>
      </c>
      <c r="H23">
        <v>0</v>
      </c>
      <c r="I23">
        <v>1</v>
      </c>
    </row>
    <row r="24" spans="1:9" x14ac:dyDescent="0.25">
      <c r="A24" s="1" t="s">
        <v>30</v>
      </c>
      <c r="B24">
        <v>745627</v>
      </c>
      <c r="C24" s="2">
        <v>0.32916119694709778</v>
      </c>
      <c r="D24" s="2">
        <v>0.2385183721780777</v>
      </c>
      <c r="E24">
        <v>0</v>
      </c>
      <c r="F24">
        <v>0</v>
      </c>
      <c r="G24">
        <v>0.5</v>
      </c>
      <c r="H24">
        <v>0.5</v>
      </c>
      <c r="I24">
        <v>1</v>
      </c>
    </row>
    <row r="25" spans="1:9" x14ac:dyDescent="0.25">
      <c r="A25" s="1" t="s">
        <v>31</v>
      </c>
      <c r="B25">
        <v>745627</v>
      </c>
      <c r="C25" s="2">
        <v>1.4539844123646619E-3</v>
      </c>
      <c r="D25" s="2">
        <v>2.657360211014748E-2</v>
      </c>
      <c r="E25">
        <v>0</v>
      </c>
      <c r="F25">
        <v>0</v>
      </c>
      <c r="G25">
        <v>0</v>
      </c>
      <c r="H25">
        <v>0</v>
      </c>
      <c r="I25">
        <v>1</v>
      </c>
    </row>
    <row r="26" spans="1:9" x14ac:dyDescent="0.25">
      <c r="A26" s="1" t="s">
        <v>32</v>
      </c>
      <c r="B26">
        <v>745627</v>
      </c>
      <c r="C26" s="2">
        <v>0.12553650140762329</v>
      </c>
      <c r="D26" s="2">
        <v>0.21337759494781491</v>
      </c>
      <c r="E26">
        <v>0</v>
      </c>
      <c r="F26">
        <v>0</v>
      </c>
      <c r="G26">
        <v>0</v>
      </c>
      <c r="H26">
        <v>0.25</v>
      </c>
      <c r="I26">
        <v>1</v>
      </c>
    </row>
    <row r="27" spans="1:9" x14ac:dyDescent="0.25">
      <c r="A27" s="1" t="s">
        <v>33</v>
      </c>
      <c r="B27">
        <v>745627</v>
      </c>
      <c r="C27" s="2">
        <v>2.7224866207689051E-3</v>
      </c>
      <c r="D27" s="2">
        <v>3.5006158053874969E-2</v>
      </c>
      <c r="E27">
        <v>0</v>
      </c>
      <c r="F27">
        <v>0</v>
      </c>
      <c r="G27">
        <v>0</v>
      </c>
      <c r="H27">
        <v>0</v>
      </c>
      <c r="I27">
        <v>1</v>
      </c>
    </row>
    <row r="28" spans="1:9" x14ac:dyDescent="0.25">
      <c r="A28" s="1" t="s">
        <v>34</v>
      </c>
      <c r="B28">
        <v>745627</v>
      </c>
      <c r="C28" s="2">
        <v>0</v>
      </c>
      <c r="D28" s="2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 x14ac:dyDescent="0.25">
      <c r="A29" s="1" t="s">
        <v>35</v>
      </c>
      <c r="B29">
        <v>745627</v>
      </c>
      <c r="C29" s="2">
        <v>0</v>
      </c>
      <c r="D29" s="2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 x14ac:dyDescent="0.25">
      <c r="A30" s="1" t="s">
        <v>36</v>
      </c>
      <c r="B30">
        <v>745627</v>
      </c>
      <c r="C30" s="2">
        <v>0</v>
      </c>
      <c r="D30" s="2">
        <v>0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 x14ac:dyDescent="0.25">
      <c r="A31" s="1" t="s">
        <v>37</v>
      </c>
      <c r="B31">
        <v>745627</v>
      </c>
      <c r="C31" s="2">
        <v>0</v>
      </c>
      <c r="D31" s="2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25">
      <c r="A32" s="1" t="s">
        <v>38</v>
      </c>
      <c r="B32">
        <v>745627</v>
      </c>
      <c r="C32" s="2">
        <v>2.0964517111102472</v>
      </c>
      <c r="D32" s="2">
        <v>0.40886458222858568</v>
      </c>
      <c r="E32">
        <v>1</v>
      </c>
      <c r="F32">
        <v>2</v>
      </c>
      <c r="G32">
        <v>2</v>
      </c>
      <c r="H32">
        <v>2</v>
      </c>
      <c r="I32">
        <v>7</v>
      </c>
    </row>
    <row r="33" spans="1:9" x14ac:dyDescent="0.25">
      <c r="A33" s="1" t="s">
        <v>39</v>
      </c>
      <c r="B33">
        <v>745627</v>
      </c>
      <c r="C33" s="2">
        <v>2.237479388713837E-2</v>
      </c>
      <c r="D33" s="2">
        <v>0.10094071179628369</v>
      </c>
      <c r="E33">
        <v>0</v>
      </c>
      <c r="F33">
        <v>0</v>
      </c>
      <c r="G33">
        <v>0</v>
      </c>
      <c r="H33">
        <v>0</v>
      </c>
      <c r="I33">
        <v>1</v>
      </c>
    </row>
    <row r="34" spans="1:9" x14ac:dyDescent="0.25">
      <c r="A34" s="1" t="s">
        <v>40</v>
      </c>
      <c r="B34">
        <v>745627</v>
      </c>
      <c r="C34" s="2">
        <v>5.0169490277767181E-2</v>
      </c>
      <c r="D34" s="2">
        <v>0.14664450287818909</v>
      </c>
      <c r="E34">
        <v>0</v>
      </c>
      <c r="F34">
        <v>0</v>
      </c>
      <c r="G34">
        <v>0</v>
      </c>
      <c r="H34">
        <v>0</v>
      </c>
      <c r="I34">
        <v>1</v>
      </c>
    </row>
    <row r="35" spans="1:9" x14ac:dyDescent="0.25">
      <c r="A35" s="1" t="s">
        <v>41</v>
      </c>
      <c r="B35">
        <v>745627</v>
      </c>
      <c r="C35" s="2">
        <v>0.18888656795024869</v>
      </c>
      <c r="D35" s="2">
        <v>0.26095288991928101</v>
      </c>
      <c r="E35">
        <v>0</v>
      </c>
      <c r="F35">
        <v>0</v>
      </c>
      <c r="G35">
        <v>0</v>
      </c>
      <c r="H35">
        <v>0.5</v>
      </c>
      <c r="I35">
        <v>1</v>
      </c>
    </row>
    <row r="36" spans="1:9" x14ac:dyDescent="0.25">
      <c r="A36" s="1" t="s">
        <v>42</v>
      </c>
      <c r="B36">
        <v>745627</v>
      </c>
      <c r="C36" s="2">
        <v>0.26885929703712458</v>
      </c>
      <c r="D36" s="2">
        <v>0.31642076373100281</v>
      </c>
      <c r="E36">
        <v>0</v>
      </c>
      <c r="F36">
        <v>0</v>
      </c>
      <c r="G36">
        <v>0</v>
      </c>
      <c r="H36">
        <v>0.5</v>
      </c>
      <c r="I36">
        <v>1</v>
      </c>
    </row>
    <row r="37" spans="1:9" x14ac:dyDescent="0.25">
      <c r="A37" s="1" t="s">
        <v>43</v>
      </c>
      <c r="B37">
        <v>745627</v>
      </c>
      <c r="C37" s="2">
        <v>0.24464693665504461</v>
      </c>
      <c r="D37" s="2">
        <v>0.29682737588882452</v>
      </c>
      <c r="E37">
        <v>0</v>
      </c>
      <c r="F37">
        <v>0</v>
      </c>
      <c r="G37">
        <v>0</v>
      </c>
      <c r="H37">
        <v>0.5</v>
      </c>
      <c r="I37">
        <v>1</v>
      </c>
    </row>
    <row r="38" spans="1:9" x14ac:dyDescent="0.25">
      <c r="A38" s="1" t="s">
        <v>44</v>
      </c>
      <c r="B38">
        <v>745627</v>
      </c>
      <c r="C38" s="2">
        <v>0.22475364804267881</v>
      </c>
      <c r="D38" s="2">
        <v>0.27415969967842102</v>
      </c>
      <c r="E38">
        <v>0</v>
      </c>
      <c r="F38">
        <v>0</v>
      </c>
      <c r="G38">
        <v>0</v>
      </c>
      <c r="H38">
        <v>0.5</v>
      </c>
      <c r="I38">
        <v>1</v>
      </c>
    </row>
    <row r="39" spans="1:9" x14ac:dyDescent="0.25">
      <c r="A39" s="1" t="s">
        <v>45</v>
      </c>
      <c r="B39">
        <v>745627</v>
      </c>
      <c r="C39" s="2">
        <v>0.81665503978729248</v>
      </c>
      <c r="D39" s="2">
        <v>0.3586711585521698</v>
      </c>
      <c r="E39">
        <v>0</v>
      </c>
      <c r="F39">
        <v>1</v>
      </c>
      <c r="G39">
        <v>1</v>
      </c>
      <c r="H39">
        <v>1</v>
      </c>
      <c r="I39">
        <v>1</v>
      </c>
    </row>
    <row r="40" spans="1:9" x14ac:dyDescent="0.25">
      <c r="A40" s="1" t="s">
        <v>46</v>
      </c>
      <c r="B40">
        <v>745627</v>
      </c>
      <c r="C40" s="2">
        <v>0.14481665194034579</v>
      </c>
      <c r="D40" s="2">
        <v>0.32582816481590271</v>
      </c>
      <c r="E40">
        <v>0</v>
      </c>
      <c r="F40">
        <v>0</v>
      </c>
      <c r="G40">
        <v>0</v>
      </c>
      <c r="H40">
        <v>0</v>
      </c>
      <c r="I40">
        <v>1</v>
      </c>
    </row>
    <row r="41" spans="1:9" x14ac:dyDescent="0.25">
      <c r="A41" s="1" t="s">
        <v>47</v>
      </c>
      <c r="B41">
        <v>745627</v>
      </c>
      <c r="C41" s="2">
        <v>1.751572708599269E-3</v>
      </c>
      <c r="D41" s="2">
        <v>3.3406775444746017E-2</v>
      </c>
      <c r="E41">
        <v>0</v>
      </c>
      <c r="F41">
        <v>0</v>
      </c>
      <c r="G41">
        <v>0</v>
      </c>
      <c r="H41">
        <v>0</v>
      </c>
      <c r="I41">
        <v>1</v>
      </c>
    </row>
    <row r="42" spans="1:9" x14ac:dyDescent="0.25">
      <c r="A42" s="1" t="s">
        <v>48</v>
      </c>
      <c r="B42">
        <v>745627</v>
      </c>
      <c r="C42" s="2">
        <v>2.9615450650453571E-2</v>
      </c>
      <c r="D42" s="2">
        <v>0.15513172745704651</v>
      </c>
      <c r="E42">
        <v>0</v>
      </c>
      <c r="F42">
        <v>0</v>
      </c>
      <c r="G42">
        <v>0</v>
      </c>
      <c r="H42">
        <v>0</v>
      </c>
      <c r="I42">
        <v>1</v>
      </c>
    </row>
    <row r="43" spans="1:9" x14ac:dyDescent="0.25">
      <c r="A43" s="1" t="s">
        <v>49</v>
      </c>
      <c r="B43">
        <v>745627</v>
      </c>
      <c r="C43" s="2">
        <v>0.15766941010951999</v>
      </c>
      <c r="D43" s="2">
        <v>0.33046483993530268</v>
      </c>
      <c r="E43">
        <v>0</v>
      </c>
      <c r="F43">
        <v>0</v>
      </c>
      <c r="G43">
        <v>0</v>
      </c>
      <c r="H43">
        <v>0</v>
      </c>
      <c r="I43">
        <v>1</v>
      </c>
    </row>
    <row r="44" spans="1:9" x14ac:dyDescent="0.25">
      <c r="A44" s="1" t="s">
        <v>50</v>
      </c>
      <c r="B44">
        <v>745627</v>
      </c>
      <c r="C44" s="2">
        <v>0.12754571437835691</v>
      </c>
      <c r="D44" s="2">
        <v>0.29532346129417419</v>
      </c>
      <c r="E44">
        <v>0</v>
      </c>
      <c r="F44">
        <v>0</v>
      </c>
      <c r="G44">
        <v>0</v>
      </c>
      <c r="H44">
        <v>0</v>
      </c>
      <c r="I44">
        <v>1</v>
      </c>
    </row>
    <row r="45" spans="1:9" x14ac:dyDescent="0.25">
      <c r="A45" s="1" t="s">
        <v>51</v>
      </c>
      <c r="B45">
        <v>745627</v>
      </c>
      <c r="C45" s="2">
        <v>0.71479147672653198</v>
      </c>
      <c r="D45" s="2">
        <v>0.40803557634353638</v>
      </c>
      <c r="E45">
        <v>0</v>
      </c>
      <c r="F45">
        <v>0.5</v>
      </c>
      <c r="G45">
        <v>1</v>
      </c>
      <c r="H45">
        <v>1</v>
      </c>
      <c r="I45">
        <v>1</v>
      </c>
    </row>
    <row r="46" spans="1:9" x14ac:dyDescent="0.25">
      <c r="A46" s="1" t="s">
        <v>52</v>
      </c>
      <c r="B46">
        <v>745627</v>
      </c>
      <c r="C46" s="2">
        <v>0</v>
      </c>
      <c r="D46" s="2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 x14ac:dyDescent="0.25">
      <c r="A47" s="1" t="s">
        <v>53</v>
      </c>
      <c r="B47">
        <v>745627</v>
      </c>
      <c r="C47" s="2">
        <v>0.51051531127494043</v>
      </c>
      <c r="D47" s="2">
        <v>0.49988975121443979</v>
      </c>
      <c r="E47">
        <v>0</v>
      </c>
      <c r="F47">
        <v>0</v>
      </c>
      <c r="G47">
        <v>1</v>
      </c>
      <c r="H47">
        <v>1</v>
      </c>
      <c r="I47">
        <v>1</v>
      </c>
    </row>
    <row r="48" spans="1:9" x14ac:dyDescent="0.25">
      <c r="A48" s="1" t="s">
        <v>54</v>
      </c>
      <c r="B48">
        <v>745627</v>
      </c>
      <c r="C48" s="2">
        <v>0.65806093395223075</v>
      </c>
      <c r="D48" s="2">
        <v>0.47435961352170819</v>
      </c>
      <c r="E48">
        <v>0</v>
      </c>
      <c r="F48">
        <v>0</v>
      </c>
      <c r="G48">
        <v>1</v>
      </c>
      <c r="H48">
        <v>1</v>
      </c>
      <c r="I48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>
      <selection activeCell="A2" sqref="A2:B2"/>
    </sheetView>
  </sheetViews>
  <sheetFormatPr defaultRowHeight="15" x14ac:dyDescent="0.25"/>
  <cols>
    <col min="1" max="1" width="23.28515625" customWidth="1"/>
    <col min="2" max="2" width="19.42578125" customWidth="1"/>
  </cols>
  <sheetData>
    <row r="1" spans="1:2" x14ac:dyDescent="0.25">
      <c r="A1" s="1" t="s">
        <v>55</v>
      </c>
      <c r="B1" s="1" t="s">
        <v>56</v>
      </c>
    </row>
    <row r="2" spans="1:2" x14ac:dyDescent="0.25">
      <c r="A2" t="s">
        <v>57</v>
      </c>
      <c r="B2">
        <v>51.61</v>
      </c>
    </row>
    <row r="3" spans="1:2" x14ac:dyDescent="0.25">
      <c r="A3" t="s">
        <v>58</v>
      </c>
      <c r="B3">
        <v>7.97</v>
      </c>
    </row>
    <row r="4" spans="1:2" x14ac:dyDescent="0.25">
      <c r="A4" t="s">
        <v>59</v>
      </c>
      <c r="B4">
        <v>4.99</v>
      </c>
    </row>
    <row r="5" spans="1:2" x14ac:dyDescent="0.25">
      <c r="A5" t="s">
        <v>60</v>
      </c>
      <c r="B5">
        <v>4.33</v>
      </c>
    </row>
    <row r="6" spans="1:2" x14ac:dyDescent="0.25">
      <c r="A6" t="s">
        <v>61</v>
      </c>
      <c r="B6">
        <v>3.06</v>
      </c>
    </row>
    <row r="7" spans="1:2" x14ac:dyDescent="0.25">
      <c r="A7" t="s">
        <v>62</v>
      </c>
      <c r="B7">
        <v>2.5099999999999998</v>
      </c>
    </row>
    <row r="8" spans="1:2" x14ac:dyDescent="0.25">
      <c r="A8" t="s">
        <v>63</v>
      </c>
      <c r="B8">
        <v>2.48</v>
      </c>
    </row>
    <row r="9" spans="1:2" x14ac:dyDescent="0.25">
      <c r="A9" t="s">
        <v>64</v>
      </c>
      <c r="B9">
        <v>2.08</v>
      </c>
    </row>
    <row r="10" spans="1:2" x14ac:dyDescent="0.25">
      <c r="A10" t="s">
        <v>65</v>
      </c>
      <c r="B10">
        <v>1.82</v>
      </c>
    </row>
    <row r="11" spans="1:2" x14ac:dyDescent="0.25">
      <c r="A11" t="s">
        <v>66</v>
      </c>
      <c r="B11">
        <v>1.01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8"/>
  <sheetViews>
    <sheetView workbookViewId="0">
      <selection activeCell="A45" sqref="A43:XFD45"/>
    </sheetView>
  </sheetViews>
  <sheetFormatPr defaultRowHeight="15" x14ac:dyDescent="0.25"/>
  <cols>
    <col min="1" max="1" width="23.140625" bestFit="1" customWidth="1"/>
    <col min="3" max="3" width="11.5703125" bestFit="1" customWidth="1"/>
    <col min="4" max="4" width="10.5703125" bestFit="1" customWidth="1"/>
  </cols>
  <sheetData>
    <row r="1" spans="1: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1" t="s">
        <v>8</v>
      </c>
      <c r="B2">
        <v>1149812</v>
      </c>
      <c r="C2" s="2">
        <v>1.04400458509739</v>
      </c>
      <c r="D2" s="2">
        <v>0.21218738528822409</v>
      </c>
      <c r="E2">
        <v>1</v>
      </c>
      <c r="F2">
        <v>1</v>
      </c>
      <c r="G2">
        <v>1</v>
      </c>
      <c r="H2">
        <v>1</v>
      </c>
      <c r="I2">
        <v>3</v>
      </c>
    </row>
    <row r="3" spans="1:9" x14ac:dyDescent="0.25">
      <c r="A3" s="1" t="s">
        <v>9</v>
      </c>
      <c r="B3">
        <v>1149812</v>
      </c>
      <c r="C3" s="2">
        <v>141.37139892578119</v>
      </c>
      <c r="D3" s="2">
        <v>73.408302307128906</v>
      </c>
      <c r="E3">
        <v>0</v>
      </c>
      <c r="F3">
        <v>86.25</v>
      </c>
      <c r="G3">
        <v>143.75</v>
      </c>
      <c r="H3">
        <v>190.8999938964844</v>
      </c>
      <c r="I3">
        <v>293.25</v>
      </c>
    </row>
    <row r="4" spans="1:9" x14ac:dyDescent="0.25">
      <c r="A4" s="1" t="s">
        <v>10</v>
      </c>
      <c r="B4">
        <v>48898</v>
      </c>
      <c r="C4" s="2">
        <v>36.855148315429688</v>
      </c>
      <c r="D4" s="2">
        <v>41.140716552734382</v>
      </c>
      <c r="E4">
        <v>0</v>
      </c>
      <c r="F4">
        <v>0</v>
      </c>
      <c r="G4">
        <v>25</v>
      </c>
      <c r="H4">
        <v>60</v>
      </c>
      <c r="I4">
        <v>256</v>
      </c>
    </row>
    <row r="5" spans="1:9" x14ac:dyDescent="0.25">
      <c r="A5" s="1" t="s">
        <v>11</v>
      </c>
      <c r="B5">
        <v>1134765</v>
      </c>
      <c r="C5" s="2">
        <v>5.898289680480957</v>
      </c>
      <c r="D5" s="2">
        <v>6.9034624099731454</v>
      </c>
      <c r="E5">
        <v>-1</v>
      </c>
      <c r="F5">
        <v>1</v>
      </c>
      <c r="G5">
        <v>3</v>
      </c>
      <c r="H5">
        <v>9</v>
      </c>
      <c r="I5">
        <v>32</v>
      </c>
    </row>
    <row r="6" spans="1:9" x14ac:dyDescent="0.25">
      <c r="A6" s="1" t="s">
        <v>12</v>
      </c>
      <c r="B6">
        <v>1149812</v>
      </c>
      <c r="C6" s="2">
        <v>4.6664342880249023</v>
      </c>
      <c r="D6" s="2">
        <v>4.6025938987731934</v>
      </c>
      <c r="E6">
        <v>1</v>
      </c>
      <c r="F6">
        <v>2</v>
      </c>
      <c r="G6">
        <v>4</v>
      </c>
      <c r="H6">
        <v>6</v>
      </c>
      <c r="I6">
        <v>139</v>
      </c>
    </row>
    <row r="7" spans="1:9" x14ac:dyDescent="0.25">
      <c r="A7" s="1" t="s">
        <v>13</v>
      </c>
      <c r="B7">
        <v>1149812</v>
      </c>
      <c r="C7" s="2">
        <v>0.87169027328491211</v>
      </c>
      <c r="D7" s="2">
        <v>0.33133968710899347</v>
      </c>
      <c r="E7">
        <v>0</v>
      </c>
      <c r="F7">
        <v>1</v>
      </c>
      <c r="G7">
        <v>1</v>
      </c>
      <c r="H7">
        <v>1</v>
      </c>
      <c r="I7">
        <v>1</v>
      </c>
    </row>
    <row r="8" spans="1:9" x14ac:dyDescent="0.25">
      <c r="A8" s="1" t="s">
        <v>14</v>
      </c>
      <c r="B8">
        <v>1149812</v>
      </c>
      <c r="C8" s="2">
        <v>0.12830983102321619</v>
      </c>
      <c r="D8" s="2">
        <v>0.33133968710899347</v>
      </c>
      <c r="E8">
        <v>0</v>
      </c>
      <c r="F8">
        <v>0</v>
      </c>
      <c r="G8">
        <v>0</v>
      </c>
      <c r="H8">
        <v>0</v>
      </c>
      <c r="I8">
        <v>1</v>
      </c>
    </row>
    <row r="9" spans="1:9" x14ac:dyDescent="0.25">
      <c r="A9" s="1" t="s">
        <v>15</v>
      </c>
      <c r="B9">
        <v>1149812</v>
      </c>
      <c r="C9" s="2">
        <v>0.58564656972885132</v>
      </c>
      <c r="D9" s="2">
        <v>0.48937001824378967</v>
      </c>
      <c r="E9">
        <v>0</v>
      </c>
      <c r="F9">
        <v>0</v>
      </c>
      <c r="G9">
        <v>1</v>
      </c>
      <c r="H9">
        <v>1</v>
      </c>
      <c r="I9">
        <v>1</v>
      </c>
    </row>
    <row r="10" spans="1:9" x14ac:dyDescent="0.25">
      <c r="A10" s="1" t="s">
        <v>16</v>
      </c>
      <c r="B10">
        <v>1149812</v>
      </c>
      <c r="C10" s="2">
        <v>0.27848285436630249</v>
      </c>
      <c r="D10" s="2">
        <v>0.44504183530807501</v>
      </c>
      <c r="E10">
        <v>0</v>
      </c>
      <c r="F10">
        <v>0</v>
      </c>
      <c r="G10">
        <v>0</v>
      </c>
      <c r="H10">
        <v>1</v>
      </c>
      <c r="I10">
        <v>1</v>
      </c>
    </row>
    <row r="11" spans="1:9" x14ac:dyDescent="0.25">
      <c r="A11" s="1" t="s">
        <v>17</v>
      </c>
      <c r="B11">
        <v>1149812</v>
      </c>
      <c r="C11" s="2">
        <v>0.13586905598640439</v>
      </c>
      <c r="D11" s="2">
        <v>0.34032529592514038</v>
      </c>
      <c r="E11">
        <v>0</v>
      </c>
      <c r="F11">
        <v>0</v>
      </c>
      <c r="G11">
        <v>0</v>
      </c>
      <c r="H11">
        <v>0</v>
      </c>
      <c r="I11">
        <v>1</v>
      </c>
    </row>
    <row r="12" spans="1:9" x14ac:dyDescent="0.25">
      <c r="A12" s="1" t="s">
        <v>18</v>
      </c>
      <c r="B12">
        <v>1149812</v>
      </c>
      <c r="C12" s="2">
        <v>5.6116566061973572E-2</v>
      </c>
      <c r="D12" s="2">
        <v>0.2299516350030899</v>
      </c>
      <c r="E12">
        <v>0</v>
      </c>
      <c r="F12">
        <v>0</v>
      </c>
      <c r="G12">
        <v>0</v>
      </c>
      <c r="H12">
        <v>0</v>
      </c>
      <c r="I12">
        <v>1</v>
      </c>
    </row>
    <row r="13" spans="1:9" x14ac:dyDescent="0.25">
      <c r="A13" s="1" t="s">
        <v>19</v>
      </c>
      <c r="B13">
        <v>1149812</v>
      </c>
      <c r="C13" s="2">
        <v>1.4658918371424079E-3</v>
      </c>
      <c r="D13" s="2">
        <v>3.8256067782640457E-2</v>
      </c>
      <c r="E13">
        <v>0</v>
      </c>
      <c r="F13">
        <v>0</v>
      </c>
      <c r="G13">
        <v>0</v>
      </c>
      <c r="H13">
        <v>0</v>
      </c>
      <c r="I13">
        <v>1</v>
      </c>
    </row>
    <row r="14" spans="1:9" x14ac:dyDescent="0.25">
      <c r="A14" s="1" t="s">
        <v>20</v>
      </c>
      <c r="B14">
        <v>1149812</v>
      </c>
      <c r="C14" s="2">
        <v>0.3844350278377533</v>
      </c>
      <c r="D14" s="2">
        <v>0.48629441857337952</v>
      </c>
      <c r="E14">
        <v>0</v>
      </c>
      <c r="F14">
        <v>0</v>
      </c>
      <c r="G14">
        <v>0</v>
      </c>
      <c r="H14">
        <v>1</v>
      </c>
      <c r="I14">
        <v>1</v>
      </c>
    </row>
    <row r="15" spans="1:9" x14ac:dyDescent="0.25">
      <c r="A15" s="1" t="s">
        <v>21</v>
      </c>
      <c r="B15">
        <v>1149812</v>
      </c>
      <c r="C15" s="2">
        <v>1.5045937616378069E-3</v>
      </c>
      <c r="D15" s="2">
        <v>3.8759924471378333E-2</v>
      </c>
      <c r="E15">
        <v>0</v>
      </c>
      <c r="F15">
        <v>0</v>
      </c>
      <c r="G15">
        <v>0</v>
      </c>
      <c r="H15">
        <v>0</v>
      </c>
      <c r="I15">
        <v>1</v>
      </c>
    </row>
    <row r="16" spans="1:9" x14ac:dyDescent="0.25">
      <c r="A16" s="1" t="s">
        <v>22</v>
      </c>
      <c r="B16">
        <v>1149812</v>
      </c>
      <c r="C16" s="2">
        <v>5.8576095849275589E-2</v>
      </c>
      <c r="D16" s="2">
        <v>0.23479405045509341</v>
      </c>
      <c r="E16">
        <v>0</v>
      </c>
      <c r="F16">
        <v>0</v>
      </c>
      <c r="G16">
        <v>0</v>
      </c>
      <c r="H16">
        <v>0</v>
      </c>
      <c r="I16">
        <v>1</v>
      </c>
    </row>
    <row r="17" spans="1:9" x14ac:dyDescent="0.25">
      <c r="A17" s="1" t="s">
        <v>23</v>
      </c>
      <c r="B17">
        <v>1149812</v>
      </c>
      <c r="C17" s="2">
        <v>2.7478404808789492E-3</v>
      </c>
      <c r="D17" s="2">
        <v>5.2345715463161469E-2</v>
      </c>
      <c r="E17">
        <v>0</v>
      </c>
      <c r="F17">
        <v>0</v>
      </c>
      <c r="G17">
        <v>0</v>
      </c>
      <c r="H17">
        <v>0</v>
      </c>
      <c r="I17">
        <v>1</v>
      </c>
    </row>
    <row r="18" spans="1:9" x14ac:dyDescent="0.25">
      <c r="A18" s="1" t="s">
        <v>24</v>
      </c>
      <c r="B18">
        <v>1149812</v>
      </c>
      <c r="C18" s="2">
        <v>0</v>
      </c>
      <c r="D18" s="2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5">
      <c r="A19" s="1" t="s">
        <v>25</v>
      </c>
      <c r="B19">
        <v>1149812</v>
      </c>
      <c r="C19" s="2">
        <v>0</v>
      </c>
      <c r="D19" s="2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25">
      <c r="A20" s="1" t="s">
        <v>26</v>
      </c>
      <c r="B20">
        <v>1149812</v>
      </c>
      <c r="C20" s="2">
        <v>0</v>
      </c>
      <c r="D20" s="2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 x14ac:dyDescent="0.25">
      <c r="A21" s="1" t="s">
        <v>27</v>
      </c>
      <c r="B21">
        <v>1149812</v>
      </c>
      <c r="C21" s="2">
        <v>0</v>
      </c>
      <c r="D21" s="2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x14ac:dyDescent="0.25">
      <c r="A22" s="1" t="s">
        <v>28</v>
      </c>
      <c r="B22">
        <v>1149812</v>
      </c>
      <c r="C22" s="2">
        <v>6.4921051263809204E-2</v>
      </c>
      <c r="D22" s="2">
        <v>0.24629394710063929</v>
      </c>
      <c r="E22">
        <v>0</v>
      </c>
      <c r="F22">
        <v>0</v>
      </c>
      <c r="G22">
        <v>0</v>
      </c>
      <c r="H22">
        <v>0</v>
      </c>
      <c r="I22">
        <v>1</v>
      </c>
    </row>
    <row r="23" spans="1:9" x14ac:dyDescent="0.25">
      <c r="A23" s="1" t="s">
        <v>29</v>
      </c>
      <c r="B23">
        <v>1149812</v>
      </c>
      <c r="C23" s="2">
        <v>1.2371587799862029E-3</v>
      </c>
      <c r="D23" s="2">
        <v>3.5148430615663528E-2</v>
      </c>
      <c r="E23">
        <v>0</v>
      </c>
      <c r="F23">
        <v>0</v>
      </c>
      <c r="G23">
        <v>0</v>
      </c>
      <c r="H23">
        <v>0</v>
      </c>
      <c r="I23">
        <v>1</v>
      </c>
    </row>
    <row r="24" spans="1:9" x14ac:dyDescent="0.25">
      <c r="A24" s="1" t="s">
        <v>30</v>
      </c>
      <c r="B24">
        <v>1149812</v>
      </c>
      <c r="C24" s="2">
        <v>0.37629237771034241</v>
      </c>
      <c r="D24" s="2">
        <v>0.48424285650253301</v>
      </c>
      <c r="E24">
        <v>0</v>
      </c>
      <c r="F24">
        <v>0</v>
      </c>
      <c r="G24">
        <v>0</v>
      </c>
      <c r="H24">
        <v>1</v>
      </c>
      <c r="I24">
        <v>1</v>
      </c>
    </row>
    <row r="25" spans="1:9" x14ac:dyDescent="0.25">
      <c r="A25" s="1" t="s">
        <v>31</v>
      </c>
      <c r="B25">
        <v>1149812</v>
      </c>
      <c r="C25" s="2">
        <v>1.2210691347718241E-3</v>
      </c>
      <c r="D25" s="2">
        <v>3.4922473132610321E-2</v>
      </c>
      <c r="E25">
        <v>0</v>
      </c>
      <c r="F25">
        <v>0</v>
      </c>
      <c r="G25">
        <v>0</v>
      </c>
      <c r="H25">
        <v>0</v>
      </c>
      <c r="I25">
        <v>1</v>
      </c>
    </row>
    <row r="26" spans="1:9" x14ac:dyDescent="0.25">
      <c r="A26" s="1" t="s">
        <v>32</v>
      </c>
      <c r="B26">
        <v>1149812</v>
      </c>
      <c r="C26" s="2">
        <v>4.8199184238910682E-2</v>
      </c>
      <c r="D26" s="2">
        <v>0.21414025127887731</v>
      </c>
      <c r="E26">
        <v>0</v>
      </c>
      <c r="F26">
        <v>0</v>
      </c>
      <c r="G26">
        <v>0</v>
      </c>
      <c r="H26">
        <v>0</v>
      </c>
      <c r="I26">
        <v>1</v>
      </c>
    </row>
    <row r="27" spans="1:9" x14ac:dyDescent="0.25">
      <c r="A27" s="1" t="s">
        <v>33</v>
      </c>
      <c r="B27">
        <v>1149812</v>
      </c>
      <c r="C27" s="2">
        <v>3.2831453718245029E-3</v>
      </c>
      <c r="D27" s="2">
        <v>5.7204630225896842E-2</v>
      </c>
      <c r="E27">
        <v>0</v>
      </c>
      <c r="F27">
        <v>0</v>
      </c>
      <c r="G27">
        <v>0</v>
      </c>
      <c r="H27">
        <v>0</v>
      </c>
      <c r="I27">
        <v>1</v>
      </c>
    </row>
    <row r="28" spans="1:9" x14ac:dyDescent="0.25">
      <c r="A28" s="1" t="s">
        <v>34</v>
      </c>
      <c r="B28">
        <v>1149812</v>
      </c>
      <c r="C28" s="2">
        <v>0</v>
      </c>
      <c r="D28" s="2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 x14ac:dyDescent="0.25">
      <c r="A29" s="1" t="s">
        <v>35</v>
      </c>
      <c r="B29">
        <v>1149812</v>
      </c>
      <c r="C29" s="2">
        <v>0</v>
      </c>
      <c r="D29" s="2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 x14ac:dyDescent="0.25">
      <c r="A30" s="1" t="s">
        <v>36</v>
      </c>
      <c r="B30">
        <v>1149812</v>
      </c>
      <c r="C30" s="2">
        <v>0</v>
      </c>
      <c r="D30" s="2">
        <v>0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 x14ac:dyDescent="0.25">
      <c r="A31" s="1" t="s">
        <v>37</v>
      </c>
      <c r="B31">
        <v>1149812</v>
      </c>
      <c r="C31" s="2">
        <v>0</v>
      </c>
      <c r="D31" s="2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25">
      <c r="A32" s="1" t="s">
        <v>38</v>
      </c>
      <c r="B32">
        <v>1149812</v>
      </c>
      <c r="C32" s="2">
        <v>1.0010819160001809</v>
      </c>
      <c r="D32" s="2">
        <v>3.2874707571058127E-2</v>
      </c>
      <c r="E32">
        <v>1</v>
      </c>
      <c r="F32">
        <v>1</v>
      </c>
      <c r="G32">
        <v>1</v>
      </c>
      <c r="H32">
        <v>1</v>
      </c>
      <c r="I32">
        <v>2</v>
      </c>
    </row>
    <row r="33" spans="1:9" x14ac:dyDescent="0.25">
      <c r="A33" s="1" t="s">
        <v>39</v>
      </c>
      <c r="B33">
        <v>1149812</v>
      </c>
      <c r="C33" s="2">
        <v>1.303224638104439E-2</v>
      </c>
      <c r="D33" s="2">
        <v>0.11209505796432501</v>
      </c>
      <c r="E33">
        <v>0</v>
      </c>
      <c r="F33">
        <v>0</v>
      </c>
      <c r="G33">
        <v>0</v>
      </c>
      <c r="H33">
        <v>0</v>
      </c>
      <c r="I33">
        <v>1</v>
      </c>
    </row>
    <row r="34" spans="1:9" x14ac:dyDescent="0.25">
      <c r="A34" s="1" t="s">
        <v>40</v>
      </c>
      <c r="B34">
        <v>1149812</v>
      </c>
      <c r="C34" s="2">
        <v>2.9972417280077931E-2</v>
      </c>
      <c r="D34" s="2">
        <v>0.169000118970871</v>
      </c>
      <c r="E34">
        <v>0</v>
      </c>
      <c r="F34">
        <v>0</v>
      </c>
      <c r="G34">
        <v>0</v>
      </c>
      <c r="H34">
        <v>0</v>
      </c>
      <c r="I34">
        <v>1</v>
      </c>
    </row>
    <row r="35" spans="1:9" x14ac:dyDescent="0.25">
      <c r="A35" s="1" t="s">
        <v>41</v>
      </c>
      <c r="B35">
        <v>1149812</v>
      </c>
      <c r="C35" s="2">
        <v>0.18034861981868741</v>
      </c>
      <c r="D35" s="2">
        <v>0.38185760378837591</v>
      </c>
      <c r="E35">
        <v>0</v>
      </c>
      <c r="F35">
        <v>0</v>
      </c>
      <c r="G35">
        <v>0</v>
      </c>
      <c r="H35">
        <v>0</v>
      </c>
      <c r="I35">
        <v>1</v>
      </c>
    </row>
    <row r="36" spans="1:9" x14ac:dyDescent="0.25">
      <c r="A36" s="1" t="s">
        <v>42</v>
      </c>
      <c r="B36">
        <v>1149812</v>
      </c>
      <c r="C36" s="2">
        <v>0.3847593367099762</v>
      </c>
      <c r="D36" s="2">
        <v>0.48300603032112122</v>
      </c>
      <c r="E36">
        <v>0</v>
      </c>
      <c r="F36">
        <v>0</v>
      </c>
      <c r="G36">
        <v>0</v>
      </c>
      <c r="H36">
        <v>1</v>
      </c>
      <c r="I36">
        <v>1</v>
      </c>
    </row>
    <row r="37" spans="1:9" x14ac:dyDescent="0.25">
      <c r="A37" s="1" t="s">
        <v>43</v>
      </c>
      <c r="B37">
        <v>1149812</v>
      </c>
      <c r="C37" s="2">
        <v>0.25739017128944403</v>
      </c>
      <c r="D37" s="2">
        <v>0.43345186114311218</v>
      </c>
      <c r="E37">
        <v>0</v>
      </c>
      <c r="F37">
        <v>0</v>
      </c>
      <c r="G37">
        <v>0</v>
      </c>
      <c r="H37">
        <v>1</v>
      </c>
      <c r="I37">
        <v>1</v>
      </c>
    </row>
    <row r="38" spans="1:9" x14ac:dyDescent="0.25">
      <c r="A38" s="1" t="s">
        <v>44</v>
      </c>
      <c r="B38">
        <v>1149812</v>
      </c>
      <c r="C38" s="2">
        <v>0.1344947665929794</v>
      </c>
      <c r="D38" s="2">
        <v>0.33838674426078802</v>
      </c>
      <c r="E38">
        <v>0</v>
      </c>
      <c r="F38">
        <v>0</v>
      </c>
      <c r="G38">
        <v>0</v>
      </c>
      <c r="H38">
        <v>0</v>
      </c>
      <c r="I38">
        <v>1</v>
      </c>
    </row>
    <row r="39" spans="1:9" x14ac:dyDescent="0.25">
      <c r="A39" s="1" t="s">
        <v>45</v>
      </c>
      <c r="B39">
        <v>1149812</v>
      </c>
      <c r="C39" s="2">
        <v>0.92606282234191895</v>
      </c>
      <c r="D39" s="2">
        <v>0.25895076990127558</v>
      </c>
      <c r="E39">
        <v>0</v>
      </c>
      <c r="F39">
        <v>1</v>
      </c>
      <c r="G39">
        <v>1</v>
      </c>
      <c r="H39">
        <v>1</v>
      </c>
      <c r="I39">
        <v>1</v>
      </c>
    </row>
    <row r="40" spans="1:9" x14ac:dyDescent="0.25">
      <c r="A40" s="1" t="s">
        <v>46</v>
      </c>
      <c r="B40">
        <v>1149812</v>
      </c>
      <c r="C40" s="2">
        <v>1.030199136584997E-2</v>
      </c>
      <c r="D40" s="2">
        <v>9.7359359264373779E-2</v>
      </c>
      <c r="E40">
        <v>0</v>
      </c>
      <c r="F40">
        <v>0</v>
      </c>
      <c r="G40">
        <v>0</v>
      </c>
      <c r="H40">
        <v>0</v>
      </c>
      <c r="I40">
        <v>1</v>
      </c>
    </row>
    <row r="41" spans="1:9" x14ac:dyDescent="0.25">
      <c r="A41" s="1" t="s">
        <v>47</v>
      </c>
      <c r="B41">
        <v>1149812</v>
      </c>
      <c r="C41" s="2">
        <v>2.3012373130768542E-3</v>
      </c>
      <c r="D41" s="2">
        <v>4.666445404291153E-2</v>
      </c>
      <c r="E41">
        <v>0</v>
      </c>
      <c r="F41">
        <v>0</v>
      </c>
      <c r="G41">
        <v>0</v>
      </c>
      <c r="H41">
        <v>0</v>
      </c>
      <c r="I41">
        <v>1</v>
      </c>
    </row>
    <row r="42" spans="1:9" x14ac:dyDescent="0.25">
      <c r="A42" s="1" t="s">
        <v>48</v>
      </c>
      <c r="B42">
        <v>1149812</v>
      </c>
      <c r="C42" s="2">
        <v>4.6712625771760941E-2</v>
      </c>
      <c r="D42" s="2">
        <v>0.2095916569232941</v>
      </c>
      <c r="E42">
        <v>0</v>
      </c>
      <c r="F42">
        <v>0</v>
      </c>
      <c r="G42">
        <v>0</v>
      </c>
      <c r="H42">
        <v>0</v>
      </c>
      <c r="I42">
        <v>1</v>
      </c>
    </row>
    <row r="43" spans="1:9" x14ac:dyDescent="0.25">
      <c r="A43" s="1" t="s">
        <v>49</v>
      </c>
      <c r="B43">
        <v>1149812</v>
      </c>
      <c r="C43" s="2">
        <v>0.15905849635601041</v>
      </c>
      <c r="D43" s="2">
        <v>0.36334013938903809</v>
      </c>
      <c r="E43">
        <v>0</v>
      </c>
      <c r="F43">
        <v>0</v>
      </c>
      <c r="G43">
        <v>0</v>
      </c>
      <c r="H43">
        <v>0</v>
      </c>
      <c r="I43">
        <v>1</v>
      </c>
    </row>
    <row r="44" spans="1:9" x14ac:dyDescent="0.25">
      <c r="A44" s="1" t="s">
        <v>50</v>
      </c>
      <c r="B44">
        <v>1149812</v>
      </c>
      <c r="C44" s="2">
        <v>0.1041973903775215</v>
      </c>
      <c r="D44" s="2">
        <v>0.30385449528694147</v>
      </c>
      <c r="E44">
        <v>0</v>
      </c>
      <c r="F44">
        <v>0</v>
      </c>
      <c r="G44">
        <v>0</v>
      </c>
      <c r="H44">
        <v>0</v>
      </c>
      <c r="I44">
        <v>1</v>
      </c>
    </row>
    <row r="45" spans="1:9" x14ac:dyDescent="0.25">
      <c r="A45" s="1" t="s">
        <v>51</v>
      </c>
      <c r="B45">
        <v>1149812</v>
      </c>
      <c r="C45" s="2">
        <v>0.73674356937408447</v>
      </c>
      <c r="D45" s="2">
        <v>0.43772074580192571</v>
      </c>
      <c r="E45">
        <v>0</v>
      </c>
      <c r="F45">
        <v>0</v>
      </c>
      <c r="G45">
        <v>1</v>
      </c>
      <c r="H45">
        <v>1</v>
      </c>
      <c r="I45">
        <v>1</v>
      </c>
    </row>
    <row r="46" spans="1:9" x14ac:dyDescent="0.25">
      <c r="A46" s="1" t="s">
        <v>52</v>
      </c>
      <c r="B46">
        <v>1149812</v>
      </c>
      <c r="C46" s="2">
        <v>1</v>
      </c>
      <c r="D46" s="2">
        <v>0</v>
      </c>
      <c r="E46">
        <v>1</v>
      </c>
      <c r="F46">
        <v>1</v>
      </c>
      <c r="G46">
        <v>1</v>
      </c>
      <c r="H46">
        <v>1</v>
      </c>
      <c r="I46">
        <v>1</v>
      </c>
    </row>
    <row r="47" spans="1:9" x14ac:dyDescent="0.25">
      <c r="A47" s="1" t="s">
        <v>53</v>
      </c>
      <c r="B47">
        <v>1149812</v>
      </c>
      <c r="C47" s="2">
        <v>0.49252051639746319</v>
      </c>
      <c r="D47" s="2">
        <v>0.49994427159776872</v>
      </c>
      <c r="E47">
        <v>0</v>
      </c>
      <c r="F47">
        <v>0</v>
      </c>
      <c r="G47">
        <v>0</v>
      </c>
      <c r="H47">
        <v>1</v>
      </c>
      <c r="I47">
        <v>1</v>
      </c>
    </row>
    <row r="48" spans="1:9" x14ac:dyDescent="0.25">
      <c r="A48" s="1" t="s">
        <v>54</v>
      </c>
      <c r="B48">
        <v>1149812</v>
      </c>
      <c r="C48" s="2">
        <v>0.29043269682348072</v>
      </c>
      <c r="D48" s="2">
        <v>0.45396225026991072</v>
      </c>
      <c r="E48">
        <v>0</v>
      </c>
      <c r="F48">
        <v>0</v>
      </c>
      <c r="G48">
        <v>0</v>
      </c>
      <c r="H48">
        <v>1</v>
      </c>
      <c r="I48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workbookViewId="0"/>
  </sheetViews>
  <sheetFormatPr defaultRowHeight="15" x14ac:dyDescent="0.25"/>
  <sheetData>
    <row r="1" spans="1:2" x14ac:dyDescent="0.25">
      <c r="A1" s="1" t="s">
        <v>55</v>
      </c>
      <c r="B1" s="1" t="s">
        <v>56</v>
      </c>
    </row>
    <row r="2" spans="1:2" x14ac:dyDescent="0.25">
      <c r="A2" t="s">
        <v>57</v>
      </c>
      <c r="B2">
        <v>22.23</v>
      </c>
    </row>
    <row r="3" spans="1:2" x14ac:dyDescent="0.25">
      <c r="A3" t="s">
        <v>63</v>
      </c>
      <c r="B3">
        <v>11.14</v>
      </c>
    </row>
    <row r="4" spans="1:2" x14ac:dyDescent="0.25">
      <c r="A4" t="s">
        <v>58</v>
      </c>
      <c r="B4">
        <v>10.47</v>
      </c>
    </row>
    <row r="5" spans="1:2" x14ac:dyDescent="0.25">
      <c r="A5" t="s">
        <v>59</v>
      </c>
      <c r="B5">
        <v>6.67</v>
      </c>
    </row>
    <row r="6" spans="1:2" x14ac:dyDescent="0.25">
      <c r="A6" t="s">
        <v>61</v>
      </c>
      <c r="B6">
        <v>4.8899999999999997</v>
      </c>
    </row>
    <row r="7" spans="1:2" x14ac:dyDescent="0.25">
      <c r="A7" t="s">
        <v>64</v>
      </c>
      <c r="B7">
        <v>3.72</v>
      </c>
    </row>
    <row r="8" spans="1:2" x14ac:dyDescent="0.25">
      <c r="A8" t="s">
        <v>60</v>
      </c>
      <c r="B8">
        <v>3.29</v>
      </c>
    </row>
    <row r="9" spans="1:2" x14ac:dyDescent="0.25">
      <c r="A9" t="s">
        <v>65</v>
      </c>
      <c r="B9">
        <v>2.94</v>
      </c>
    </row>
    <row r="10" spans="1:2" x14ac:dyDescent="0.25">
      <c r="A10" t="s">
        <v>62</v>
      </c>
      <c r="B10">
        <v>2.37</v>
      </c>
    </row>
    <row r="11" spans="1:2" x14ac:dyDescent="0.25">
      <c r="A11" t="s">
        <v>67</v>
      </c>
      <c r="B11">
        <v>2.06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8"/>
  <sheetViews>
    <sheetView workbookViewId="0">
      <selection activeCell="B9" sqref="B9"/>
    </sheetView>
  </sheetViews>
  <sheetFormatPr defaultRowHeight="15" x14ac:dyDescent="0.25"/>
  <cols>
    <col min="1" max="1" width="23.140625" bestFit="1" customWidth="1"/>
    <col min="3" max="4" width="9.5703125" bestFit="1" customWidth="1"/>
  </cols>
  <sheetData>
    <row r="1" spans="1: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1" t="s">
        <v>8</v>
      </c>
      <c r="B2">
        <v>296682</v>
      </c>
      <c r="C2" s="2">
        <v>1.341844129404548</v>
      </c>
      <c r="D2" s="2">
        <v>0.66317725115910542</v>
      </c>
      <c r="E2">
        <v>1</v>
      </c>
      <c r="F2">
        <v>1</v>
      </c>
      <c r="G2">
        <v>1</v>
      </c>
      <c r="H2">
        <v>2</v>
      </c>
      <c r="I2">
        <v>10</v>
      </c>
    </row>
    <row r="3" spans="1:9" x14ac:dyDescent="0.25">
      <c r="A3" s="1" t="s">
        <v>9</v>
      </c>
      <c r="B3">
        <v>296682</v>
      </c>
      <c r="C3" s="2">
        <v>411.4002685546875</v>
      </c>
      <c r="D3" s="2">
        <v>132.25495910644531</v>
      </c>
      <c r="E3">
        <v>182.71000671386719</v>
      </c>
      <c r="F3">
        <v>334.64999389648438</v>
      </c>
      <c r="G3">
        <v>380.64999389648438</v>
      </c>
      <c r="H3">
        <v>397.89999389648438</v>
      </c>
      <c r="I3">
        <v>883.20001220703125</v>
      </c>
    </row>
    <row r="4" spans="1:9" x14ac:dyDescent="0.25">
      <c r="A4" s="1" t="s">
        <v>10</v>
      </c>
      <c r="B4">
        <v>80265</v>
      </c>
      <c r="C4" s="2">
        <v>119.039192199707</v>
      </c>
      <c r="D4" s="2">
        <v>107.20387268066411</v>
      </c>
      <c r="E4">
        <v>0</v>
      </c>
      <c r="F4">
        <v>33</v>
      </c>
      <c r="G4">
        <v>106</v>
      </c>
      <c r="H4">
        <v>167</v>
      </c>
      <c r="I4">
        <v>615</v>
      </c>
    </row>
    <row r="5" spans="1:9" x14ac:dyDescent="0.25">
      <c r="A5" s="1" t="s">
        <v>11</v>
      </c>
      <c r="B5">
        <v>290969</v>
      </c>
      <c r="C5" s="2">
        <v>6.5117034912109384</v>
      </c>
      <c r="D5" s="2">
        <v>10.655355453491209</v>
      </c>
      <c r="E5">
        <v>-0.5</v>
      </c>
      <c r="F5">
        <v>0.5</v>
      </c>
      <c r="G5">
        <v>2</v>
      </c>
      <c r="H5">
        <v>8</v>
      </c>
      <c r="I5">
        <v>85</v>
      </c>
    </row>
    <row r="6" spans="1:9" x14ac:dyDescent="0.25">
      <c r="A6" s="1" t="s">
        <v>12</v>
      </c>
      <c r="B6">
        <v>296682</v>
      </c>
      <c r="C6" s="2">
        <v>5.9229745864868164</v>
      </c>
      <c r="D6" s="2">
        <v>12.02581787109375</v>
      </c>
      <c r="E6">
        <v>1</v>
      </c>
      <c r="F6">
        <v>2</v>
      </c>
      <c r="G6">
        <v>3</v>
      </c>
      <c r="H6">
        <v>6</v>
      </c>
      <c r="I6">
        <v>232</v>
      </c>
    </row>
    <row r="7" spans="1:9" x14ac:dyDescent="0.25">
      <c r="A7" s="1" t="s">
        <v>13</v>
      </c>
      <c r="B7">
        <v>296682</v>
      </c>
      <c r="C7" s="2">
        <v>5.5605914443731308E-2</v>
      </c>
      <c r="D7" s="2">
        <v>0.1590103805065155</v>
      </c>
      <c r="E7">
        <v>0</v>
      </c>
      <c r="F7">
        <v>0</v>
      </c>
      <c r="G7">
        <v>0</v>
      </c>
      <c r="H7">
        <v>0</v>
      </c>
      <c r="I7">
        <v>0.86000001430511475</v>
      </c>
    </row>
    <row r="8" spans="1:9" x14ac:dyDescent="0.25">
      <c r="A8" s="1" t="s">
        <v>14</v>
      </c>
      <c r="B8">
        <v>296682</v>
      </c>
      <c r="C8" s="2">
        <v>0.94439446926116943</v>
      </c>
      <c r="D8" s="2">
        <v>0.1590098440647125</v>
      </c>
      <c r="E8">
        <v>0.14000000059604639</v>
      </c>
      <c r="F8">
        <v>1</v>
      </c>
      <c r="G8">
        <v>1</v>
      </c>
      <c r="H8">
        <v>1</v>
      </c>
      <c r="I8">
        <v>1</v>
      </c>
    </row>
    <row r="9" spans="1:9" x14ac:dyDescent="0.25">
      <c r="A9" s="1" t="s">
        <v>15</v>
      </c>
      <c r="B9">
        <v>296682</v>
      </c>
      <c r="C9" s="2">
        <v>0.56120777130126953</v>
      </c>
      <c r="D9" s="2">
        <v>0.47059458494186401</v>
      </c>
      <c r="E9">
        <v>0</v>
      </c>
      <c r="F9">
        <v>0</v>
      </c>
      <c r="G9">
        <v>1</v>
      </c>
      <c r="H9">
        <v>1</v>
      </c>
      <c r="I9">
        <v>1</v>
      </c>
    </row>
    <row r="10" spans="1:9" x14ac:dyDescent="0.25">
      <c r="A10" s="1" t="s">
        <v>16</v>
      </c>
      <c r="B10">
        <v>296682</v>
      </c>
      <c r="C10" s="2">
        <v>0.31831151247024542</v>
      </c>
      <c r="D10" s="2">
        <v>0.43937912583351141</v>
      </c>
      <c r="E10">
        <v>0</v>
      </c>
      <c r="F10">
        <v>0</v>
      </c>
      <c r="G10">
        <v>0</v>
      </c>
      <c r="H10">
        <v>1</v>
      </c>
      <c r="I10">
        <v>1</v>
      </c>
    </row>
    <row r="11" spans="1:9" x14ac:dyDescent="0.25">
      <c r="A11" s="1" t="s">
        <v>17</v>
      </c>
      <c r="B11">
        <v>296682</v>
      </c>
      <c r="C11" s="2">
        <v>0.1204617321491241</v>
      </c>
      <c r="D11" s="2">
        <v>0.3065410852432251</v>
      </c>
      <c r="E11">
        <v>0</v>
      </c>
      <c r="F11">
        <v>0</v>
      </c>
      <c r="G11">
        <v>0</v>
      </c>
      <c r="H11">
        <v>0</v>
      </c>
      <c r="I11">
        <v>1</v>
      </c>
    </row>
    <row r="12" spans="1:9" x14ac:dyDescent="0.25">
      <c r="A12" s="1" t="s">
        <v>18</v>
      </c>
      <c r="B12">
        <v>296682</v>
      </c>
      <c r="C12" s="2">
        <v>1.1126055615022781E-3</v>
      </c>
      <c r="D12" s="2">
        <v>2.2526700049638752E-2</v>
      </c>
      <c r="E12">
        <v>0</v>
      </c>
      <c r="F12">
        <v>0</v>
      </c>
      <c r="G12">
        <v>0</v>
      </c>
      <c r="H12">
        <v>0</v>
      </c>
      <c r="I12">
        <v>0.75</v>
      </c>
    </row>
    <row r="13" spans="1:9" x14ac:dyDescent="0.25">
      <c r="A13" s="1" t="s">
        <v>19</v>
      </c>
      <c r="B13">
        <v>296682</v>
      </c>
      <c r="C13" s="2">
        <v>3.0716392211616039E-4</v>
      </c>
      <c r="D13" s="2">
        <v>1.4568543992936609E-2</v>
      </c>
      <c r="E13">
        <v>0</v>
      </c>
      <c r="F13">
        <v>0</v>
      </c>
      <c r="G13">
        <v>0</v>
      </c>
      <c r="H13">
        <v>0</v>
      </c>
      <c r="I13">
        <v>1</v>
      </c>
    </row>
    <row r="14" spans="1:9" x14ac:dyDescent="0.25">
      <c r="A14" s="1" t="s">
        <v>20</v>
      </c>
      <c r="B14">
        <v>296682</v>
      </c>
      <c r="C14" s="2">
        <v>0.37972500920295721</v>
      </c>
      <c r="D14" s="2">
        <v>0.43952381610870361</v>
      </c>
      <c r="E14">
        <v>0</v>
      </c>
      <c r="F14">
        <v>0</v>
      </c>
      <c r="G14">
        <v>0</v>
      </c>
      <c r="H14">
        <v>1</v>
      </c>
      <c r="I14">
        <v>1</v>
      </c>
    </row>
    <row r="15" spans="1:9" x14ac:dyDescent="0.25">
      <c r="A15" s="1" t="s">
        <v>21</v>
      </c>
      <c r="B15">
        <v>296682</v>
      </c>
      <c r="C15" s="2">
        <v>2.4133583792718131E-5</v>
      </c>
      <c r="D15" s="2">
        <v>3.418781328946352E-3</v>
      </c>
      <c r="E15">
        <v>0</v>
      </c>
      <c r="F15">
        <v>0</v>
      </c>
      <c r="G15">
        <v>0</v>
      </c>
      <c r="H15">
        <v>0</v>
      </c>
      <c r="I15">
        <v>0.5</v>
      </c>
    </row>
    <row r="16" spans="1:9" x14ac:dyDescent="0.25">
      <c r="A16" s="1" t="s">
        <v>22</v>
      </c>
      <c r="B16">
        <v>296682</v>
      </c>
      <c r="C16" s="2">
        <v>4.5527026057243347E-2</v>
      </c>
      <c r="D16" s="2">
        <v>0.18580083549022669</v>
      </c>
      <c r="E16">
        <v>0</v>
      </c>
      <c r="F16">
        <v>0</v>
      </c>
      <c r="G16">
        <v>0</v>
      </c>
      <c r="H16">
        <v>0</v>
      </c>
      <c r="I16">
        <v>1</v>
      </c>
    </row>
    <row r="17" spans="1:9" x14ac:dyDescent="0.25">
      <c r="A17" s="1" t="s">
        <v>23</v>
      </c>
      <c r="B17">
        <v>296682</v>
      </c>
      <c r="C17" s="2">
        <v>4.5028008753433818E-4</v>
      </c>
      <c r="D17" s="2">
        <v>2.0021200180053711E-2</v>
      </c>
      <c r="E17">
        <v>0</v>
      </c>
      <c r="F17">
        <v>0</v>
      </c>
      <c r="G17">
        <v>0</v>
      </c>
      <c r="H17">
        <v>0</v>
      </c>
      <c r="I17">
        <v>1</v>
      </c>
    </row>
    <row r="18" spans="1:9" x14ac:dyDescent="0.25">
      <c r="A18" s="1" t="s">
        <v>24</v>
      </c>
      <c r="B18">
        <v>296682</v>
      </c>
      <c r="C18" s="2">
        <v>0</v>
      </c>
      <c r="D18" s="2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5">
      <c r="A19" s="1" t="s">
        <v>25</v>
      </c>
      <c r="B19">
        <v>296682</v>
      </c>
      <c r="C19" s="2">
        <v>0</v>
      </c>
      <c r="D19" s="2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25">
      <c r="A20" s="1" t="s">
        <v>26</v>
      </c>
      <c r="B20">
        <v>296682</v>
      </c>
      <c r="C20" s="2">
        <v>0</v>
      </c>
      <c r="D20" s="2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 x14ac:dyDescent="0.25">
      <c r="A21" s="1" t="s">
        <v>27</v>
      </c>
      <c r="B21">
        <v>296682</v>
      </c>
      <c r="C21" s="2">
        <v>0</v>
      </c>
      <c r="D21" s="2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x14ac:dyDescent="0.25">
      <c r="A22" s="1" t="s">
        <v>28</v>
      </c>
      <c r="B22">
        <v>296682</v>
      </c>
      <c r="C22" s="2">
        <v>8.1332883564755321E-4</v>
      </c>
      <c r="D22" s="2">
        <v>1.915807276964188E-2</v>
      </c>
      <c r="E22">
        <v>0</v>
      </c>
      <c r="F22">
        <v>0</v>
      </c>
      <c r="G22">
        <v>0</v>
      </c>
      <c r="H22">
        <v>0</v>
      </c>
      <c r="I22">
        <v>0.75</v>
      </c>
    </row>
    <row r="23" spans="1:9" x14ac:dyDescent="0.25">
      <c r="A23" s="1" t="s">
        <v>29</v>
      </c>
      <c r="B23">
        <v>296682</v>
      </c>
      <c r="C23" s="2">
        <v>3.4919544123113161E-4</v>
      </c>
      <c r="D23" s="2">
        <v>1.597739011049271E-2</v>
      </c>
      <c r="E23">
        <v>0</v>
      </c>
      <c r="F23">
        <v>0</v>
      </c>
      <c r="G23">
        <v>0</v>
      </c>
      <c r="H23">
        <v>0</v>
      </c>
      <c r="I23">
        <v>1</v>
      </c>
    </row>
    <row r="24" spans="1:9" x14ac:dyDescent="0.25">
      <c r="A24" s="1" t="s">
        <v>30</v>
      </c>
      <c r="B24">
        <v>296682</v>
      </c>
      <c r="C24" s="2">
        <v>0.52051520347595215</v>
      </c>
      <c r="D24" s="2">
        <v>0.45598655939102167</v>
      </c>
      <c r="E24">
        <v>0</v>
      </c>
      <c r="F24">
        <v>0</v>
      </c>
      <c r="G24">
        <v>0.5</v>
      </c>
      <c r="H24">
        <v>1</v>
      </c>
      <c r="I24">
        <v>1</v>
      </c>
    </row>
    <row r="25" spans="1:9" x14ac:dyDescent="0.25">
      <c r="A25" s="1" t="s">
        <v>31</v>
      </c>
      <c r="B25">
        <v>296682</v>
      </c>
      <c r="C25" s="2">
        <v>5.9996900745318271E-6</v>
      </c>
      <c r="D25" s="2">
        <v>1.548491418361664E-3</v>
      </c>
      <c r="E25">
        <v>0</v>
      </c>
      <c r="F25">
        <v>0</v>
      </c>
      <c r="G25">
        <v>0</v>
      </c>
      <c r="H25">
        <v>0</v>
      </c>
      <c r="I25">
        <v>0.5</v>
      </c>
    </row>
    <row r="26" spans="1:9" x14ac:dyDescent="0.25">
      <c r="A26" s="1" t="s">
        <v>32</v>
      </c>
      <c r="B26">
        <v>296682</v>
      </c>
      <c r="C26" s="2">
        <v>5.0127919763326638E-2</v>
      </c>
      <c r="D26" s="2">
        <v>0.19330291450023651</v>
      </c>
      <c r="E26">
        <v>0</v>
      </c>
      <c r="F26">
        <v>0</v>
      </c>
      <c r="G26">
        <v>0</v>
      </c>
      <c r="H26">
        <v>0</v>
      </c>
      <c r="I26">
        <v>1</v>
      </c>
    </row>
    <row r="27" spans="1:9" x14ac:dyDescent="0.25">
      <c r="A27" s="1" t="s">
        <v>33</v>
      </c>
      <c r="B27">
        <v>296682</v>
      </c>
      <c r="C27" s="2">
        <v>1.015868852846324E-3</v>
      </c>
      <c r="D27" s="2">
        <v>3.072793036699295E-2</v>
      </c>
      <c r="E27">
        <v>0</v>
      </c>
      <c r="F27">
        <v>0</v>
      </c>
      <c r="G27">
        <v>0</v>
      </c>
      <c r="H27">
        <v>0</v>
      </c>
      <c r="I27">
        <v>1</v>
      </c>
    </row>
    <row r="28" spans="1:9" x14ac:dyDescent="0.25">
      <c r="A28" s="1" t="s">
        <v>34</v>
      </c>
      <c r="B28">
        <v>296682</v>
      </c>
      <c r="C28" s="2">
        <v>0</v>
      </c>
      <c r="D28" s="2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 x14ac:dyDescent="0.25">
      <c r="A29" s="1" t="s">
        <v>35</v>
      </c>
      <c r="B29">
        <v>296682</v>
      </c>
      <c r="C29" s="2">
        <v>0</v>
      </c>
      <c r="D29" s="2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 x14ac:dyDescent="0.25">
      <c r="A30" s="1" t="s">
        <v>36</v>
      </c>
      <c r="B30">
        <v>296682</v>
      </c>
      <c r="C30" s="2">
        <v>0</v>
      </c>
      <c r="D30" s="2">
        <v>0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 x14ac:dyDescent="0.25">
      <c r="A31" s="1" t="s">
        <v>37</v>
      </c>
      <c r="B31">
        <v>296682</v>
      </c>
      <c r="C31" s="2">
        <v>0</v>
      </c>
      <c r="D31" s="2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25">
      <c r="A32" s="1" t="s">
        <v>38</v>
      </c>
      <c r="B32">
        <v>296682</v>
      </c>
      <c r="C32" s="2">
        <v>1.21669329450388</v>
      </c>
      <c r="D32" s="2">
        <v>0.42515858468455742</v>
      </c>
      <c r="E32">
        <v>1</v>
      </c>
      <c r="F32">
        <v>1</v>
      </c>
      <c r="G32">
        <v>1</v>
      </c>
      <c r="H32">
        <v>1</v>
      </c>
      <c r="I32">
        <v>5</v>
      </c>
    </row>
    <row r="33" spans="1:9" x14ac:dyDescent="0.25">
      <c r="A33" s="1" t="s">
        <v>39</v>
      </c>
      <c r="B33">
        <v>296682</v>
      </c>
      <c r="C33" s="2">
        <v>1.96926686912775E-2</v>
      </c>
      <c r="D33" s="2">
        <v>0.11949107795953751</v>
      </c>
      <c r="E33">
        <v>0</v>
      </c>
      <c r="F33">
        <v>0</v>
      </c>
      <c r="G33">
        <v>0</v>
      </c>
      <c r="H33">
        <v>0</v>
      </c>
      <c r="I33">
        <v>1</v>
      </c>
    </row>
    <row r="34" spans="1:9" x14ac:dyDescent="0.25">
      <c r="A34" s="1" t="s">
        <v>40</v>
      </c>
      <c r="B34">
        <v>296682</v>
      </c>
      <c r="C34" s="2">
        <v>1.1745774187147621E-2</v>
      </c>
      <c r="D34" s="2">
        <v>9.3008257448673248E-2</v>
      </c>
      <c r="E34">
        <v>0</v>
      </c>
      <c r="F34">
        <v>0</v>
      </c>
      <c r="G34">
        <v>0</v>
      </c>
      <c r="H34">
        <v>0</v>
      </c>
      <c r="I34">
        <v>1</v>
      </c>
    </row>
    <row r="35" spans="1:9" x14ac:dyDescent="0.25">
      <c r="A35" s="1" t="s">
        <v>41</v>
      </c>
      <c r="B35">
        <v>296682</v>
      </c>
      <c r="C35" s="2">
        <v>0.14704032242298129</v>
      </c>
      <c r="D35" s="2">
        <v>0.32546374201774603</v>
      </c>
      <c r="E35">
        <v>0</v>
      </c>
      <c r="F35">
        <v>0</v>
      </c>
      <c r="G35">
        <v>0</v>
      </c>
      <c r="H35">
        <v>0</v>
      </c>
      <c r="I35">
        <v>1</v>
      </c>
    </row>
    <row r="36" spans="1:9" x14ac:dyDescent="0.25">
      <c r="A36" s="1" t="s">
        <v>42</v>
      </c>
      <c r="B36">
        <v>296682</v>
      </c>
      <c r="C36" s="2">
        <v>0.46341541409492493</v>
      </c>
      <c r="D36" s="2">
        <v>0.4687274694442749</v>
      </c>
      <c r="E36">
        <v>0</v>
      </c>
      <c r="F36">
        <v>0</v>
      </c>
      <c r="G36">
        <v>0.5</v>
      </c>
      <c r="H36">
        <v>1</v>
      </c>
      <c r="I36">
        <v>1</v>
      </c>
    </row>
    <row r="37" spans="1:9" x14ac:dyDescent="0.25">
      <c r="A37" s="1" t="s">
        <v>43</v>
      </c>
      <c r="B37">
        <v>296682</v>
      </c>
      <c r="C37" s="2">
        <v>0.25927987694740301</v>
      </c>
      <c r="D37" s="2">
        <v>0.4099438488483429</v>
      </c>
      <c r="E37">
        <v>0</v>
      </c>
      <c r="F37">
        <v>0</v>
      </c>
      <c r="G37">
        <v>0</v>
      </c>
      <c r="H37">
        <v>0.5</v>
      </c>
      <c r="I37">
        <v>1</v>
      </c>
    </row>
    <row r="38" spans="1:9" x14ac:dyDescent="0.25">
      <c r="A38" s="1" t="s">
        <v>44</v>
      </c>
      <c r="B38">
        <v>296682</v>
      </c>
      <c r="C38" s="2">
        <v>9.8737135529518127E-2</v>
      </c>
      <c r="D38" s="2">
        <v>0.26781177520751948</v>
      </c>
      <c r="E38">
        <v>0</v>
      </c>
      <c r="F38">
        <v>0</v>
      </c>
      <c r="G38">
        <v>0</v>
      </c>
      <c r="H38">
        <v>0</v>
      </c>
      <c r="I38">
        <v>1</v>
      </c>
    </row>
    <row r="39" spans="1:9" x14ac:dyDescent="0.25">
      <c r="A39" s="1" t="s">
        <v>45</v>
      </c>
      <c r="B39">
        <v>296682</v>
      </c>
      <c r="C39" s="2">
        <v>0.56098973751068115</v>
      </c>
      <c r="D39" s="2">
        <v>0.4850364625453949</v>
      </c>
      <c r="E39">
        <v>0</v>
      </c>
      <c r="F39">
        <v>0</v>
      </c>
      <c r="G39">
        <v>1</v>
      </c>
      <c r="H39">
        <v>1</v>
      </c>
      <c r="I39">
        <v>1</v>
      </c>
    </row>
    <row r="40" spans="1:9" x14ac:dyDescent="0.25">
      <c r="A40" s="1" t="s">
        <v>46</v>
      </c>
      <c r="B40">
        <v>296682</v>
      </c>
      <c r="C40" s="2">
        <v>0.28887555003166199</v>
      </c>
      <c r="D40" s="2">
        <v>0.44323617219924932</v>
      </c>
      <c r="E40">
        <v>0</v>
      </c>
      <c r="F40">
        <v>0</v>
      </c>
      <c r="G40">
        <v>0</v>
      </c>
      <c r="H40">
        <v>1</v>
      </c>
      <c r="I40">
        <v>1</v>
      </c>
    </row>
    <row r="41" spans="1:9" x14ac:dyDescent="0.25">
      <c r="A41" s="1" t="s">
        <v>47</v>
      </c>
      <c r="B41">
        <v>296682</v>
      </c>
      <c r="C41" s="2">
        <v>3.5869376733899121E-3</v>
      </c>
      <c r="D41" s="2">
        <v>5.5665761232376099E-2</v>
      </c>
      <c r="E41">
        <v>0</v>
      </c>
      <c r="F41">
        <v>0</v>
      </c>
      <c r="G41">
        <v>0</v>
      </c>
      <c r="H41">
        <v>0</v>
      </c>
      <c r="I41">
        <v>1</v>
      </c>
    </row>
    <row r="42" spans="1:9" x14ac:dyDescent="0.25">
      <c r="A42" s="1" t="s">
        <v>48</v>
      </c>
      <c r="B42">
        <v>296682</v>
      </c>
      <c r="C42" s="2">
        <v>0.13417066633701319</v>
      </c>
      <c r="D42" s="2">
        <v>0.33413228392601008</v>
      </c>
      <c r="E42">
        <v>0</v>
      </c>
      <c r="F42">
        <v>0</v>
      </c>
      <c r="G42">
        <v>0</v>
      </c>
      <c r="H42">
        <v>0</v>
      </c>
      <c r="I42">
        <v>1</v>
      </c>
    </row>
    <row r="43" spans="1:9" x14ac:dyDescent="0.25">
      <c r="A43" s="1" t="s">
        <v>49</v>
      </c>
      <c r="B43">
        <v>296682</v>
      </c>
      <c r="C43" s="2">
        <v>0.2696973979473114</v>
      </c>
      <c r="D43" s="2">
        <v>0.43336158990859991</v>
      </c>
      <c r="E43">
        <v>0</v>
      </c>
      <c r="F43">
        <v>0</v>
      </c>
      <c r="G43">
        <v>0</v>
      </c>
      <c r="H43">
        <v>1</v>
      </c>
      <c r="I43">
        <v>1</v>
      </c>
    </row>
    <row r="44" spans="1:9" x14ac:dyDescent="0.25">
      <c r="A44" s="1" t="s">
        <v>50</v>
      </c>
      <c r="B44">
        <v>296682</v>
      </c>
      <c r="C44" s="2">
        <v>0.1056361570954323</v>
      </c>
      <c r="D44" s="2">
        <v>0.29900634288787842</v>
      </c>
      <c r="E44">
        <v>0</v>
      </c>
      <c r="F44">
        <v>0</v>
      </c>
      <c r="G44">
        <v>0</v>
      </c>
      <c r="H44">
        <v>0</v>
      </c>
      <c r="I44">
        <v>1</v>
      </c>
    </row>
    <row r="45" spans="1:9" x14ac:dyDescent="0.25">
      <c r="A45" s="1" t="s">
        <v>51</v>
      </c>
      <c r="B45">
        <v>296682</v>
      </c>
      <c r="C45" s="2">
        <v>0.62465858459472656</v>
      </c>
      <c r="D45" s="2">
        <v>0.47259849309921259</v>
      </c>
      <c r="E45">
        <v>0</v>
      </c>
      <c r="F45">
        <v>0</v>
      </c>
      <c r="G45">
        <v>1</v>
      </c>
      <c r="H45">
        <v>1</v>
      </c>
      <c r="I45">
        <v>1</v>
      </c>
    </row>
    <row r="46" spans="1:9" x14ac:dyDescent="0.25">
      <c r="A46" s="1" t="s">
        <v>52</v>
      </c>
      <c r="B46">
        <v>296682</v>
      </c>
      <c r="C46" s="2">
        <v>2</v>
      </c>
      <c r="D46" s="2">
        <v>0</v>
      </c>
      <c r="E46">
        <v>2</v>
      </c>
      <c r="F46">
        <v>2</v>
      </c>
      <c r="G46">
        <v>2</v>
      </c>
      <c r="H46">
        <v>2</v>
      </c>
      <c r="I46">
        <v>2</v>
      </c>
    </row>
    <row r="47" spans="1:9" x14ac:dyDescent="0.25">
      <c r="A47" s="1" t="s">
        <v>53</v>
      </c>
      <c r="B47">
        <v>296682</v>
      </c>
      <c r="C47" s="2">
        <v>0.47550238976412462</v>
      </c>
      <c r="D47" s="2">
        <v>0.49940034814347639</v>
      </c>
      <c r="E47">
        <v>0</v>
      </c>
      <c r="F47">
        <v>0</v>
      </c>
      <c r="G47">
        <v>0</v>
      </c>
      <c r="H47">
        <v>1</v>
      </c>
      <c r="I47">
        <v>1</v>
      </c>
    </row>
    <row r="48" spans="1:9" x14ac:dyDescent="0.25">
      <c r="A48" s="1" t="s">
        <v>54</v>
      </c>
      <c r="B48">
        <v>296682</v>
      </c>
      <c r="C48" s="2">
        <v>0.17685602766598579</v>
      </c>
      <c r="D48" s="2">
        <v>0.38154745947621699</v>
      </c>
      <c r="E48">
        <v>0</v>
      </c>
      <c r="F48">
        <v>0</v>
      </c>
      <c r="G48">
        <v>0</v>
      </c>
      <c r="H48">
        <v>0</v>
      </c>
      <c r="I48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1"/>
  <sheetViews>
    <sheetView workbookViewId="0"/>
  </sheetViews>
  <sheetFormatPr defaultRowHeight="15" x14ac:dyDescent="0.25"/>
  <sheetData>
    <row r="1" spans="1:2" x14ac:dyDescent="0.25">
      <c r="A1" s="1" t="s">
        <v>55</v>
      </c>
      <c r="B1" s="1" t="s">
        <v>56</v>
      </c>
    </row>
    <row r="2" spans="1:2" x14ac:dyDescent="0.25">
      <c r="A2" t="s">
        <v>57</v>
      </c>
      <c r="B2">
        <v>19.489999999999998</v>
      </c>
    </row>
    <row r="3" spans="1:2" x14ac:dyDescent="0.25">
      <c r="A3" t="s">
        <v>63</v>
      </c>
      <c r="B3">
        <v>8.3000000000000007</v>
      </c>
    </row>
    <row r="4" spans="1:2" x14ac:dyDescent="0.25">
      <c r="A4" t="s">
        <v>58</v>
      </c>
      <c r="B4">
        <v>6.13</v>
      </c>
    </row>
    <row r="5" spans="1:2" x14ac:dyDescent="0.25">
      <c r="A5" t="s">
        <v>65</v>
      </c>
      <c r="B5">
        <v>5.95</v>
      </c>
    </row>
    <row r="6" spans="1:2" x14ac:dyDescent="0.25">
      <c r="A6" t="s">
        <v>59</v>
      </c>
      <c r="B6">
        <v>4.29</v>
      </c>
    </row>
    <row r="7" spans="1:2" x14ac:dyDescent="0.25">
      <c r="A7" t="s">
        <v>64</v>
      </c>
      <c r="B7">
        <v>3.9</v>
      </c>
    </row>
    <row r="8" spans="1:2" x14ac:dyDescent="0.25">
      <c r="A8" t="s">
        <v>68</v>
      </c>
      <c r="B8">
        <v>3.76</v>
      </c>
    </row>
    <row r="9" spans="1:2" x14ac:dyDescent="0.25">
      <c r="A9" t="s">
        <v>69</v>
      </c>
      <c r="B9">
        <v>2.61</v>
      </c>
    </row>
    <row r="10" spans="1:2" x14ac:dyDescent="0.25">
      <c r="A10" t="s">
        <v>70</v>
      </c>
      <c r="B10">
        <v>2.44</v>
      </c>
    </row>
    <row r="11" spans="1:2" x14ac:dyDescent="0.25">
      <c r="A11" t="s">
        <v>71</v>
      </c>
      <c r="B11">
        <v>2.39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8"/>
  <sheetViews>
    <sheetView workbookViewId="0">
      <selection activeCell="C2" sqref="C2:D48"/>
    </sheetView>
  </sheetViews>
  <sheetFormatPr defaultRowHeight="15" x14ac:dyDescent="0.25"/>
  <cols>
    <col min="1" max="1" width="23.140625" bestFit="1" customWidth="1"/>
  </cols>
  <sheetData>
    <row r="1" spans="1: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1" t="s">
        <v>8</v>
      </c>
      <c r="B2">
        <v>147330</v>
      </c>
      <c r="C2" s="2">
        <v>1.0254598520328519</v>
      </c>
      <c r="D2" s="2">
        <v>0.1921124533911778</v>
      </c>
      <c r="E2">
        <v>1</v>
      </c>
      <c r="F2">
        <v>1</v>
      </c>
      <c r="G2">
        <v>1</v>
      </c>
      <c r="H2">
        <v>1</v>
      </c>
      <c r="I2">
        <v>12</v>
      </c>
    </row>
    <row r="3" spans="1:9" x14ac:dyDescent="0.25">
      <c r="A3" s="1" t="s">
        <v>9</v>
      </c>
      <c r="B3">
        <v>147330</v>
      </c>
      <c r="C3" s="2">
        <v>195.7709655761719</v>
      </c>
      <c r="D3" s="2">
        <v>51.518383026123047</v>
      </c>
      <c r="E3">
        <v>11.010000228881839</v>
      </c>
      <c r="F3">
        <v>190</v>
      </c>
      <c r="G3">
        <v>190</v>
      </c>
      <c r="H3">
        <v>224.25</v>
      </c>
      <c r="I3">
        <v>678.010009765625</v>
      </c>
    </row>
    <row r="4" spans="1:9" x14ac:dyDescent="0.25">
      <c r="A4" s="1" t="s">
        <v>10</v>
      </c>
      <c r="B4">
        <v>3385</v>
      </c>
      <c r="C4" s="2">
        <v>15.057902336120611</v>
      </c>
      <c r="D4" s="2">
        <v>33.669376373291023</v>
      </c>
      <c r="E4">
        <v>0</v>
      </c>
      <c r="F4">
        <v>0</v>
      </c>
      <c r="G4">
        <v>0</v>
      </c>
      <c r="H4">
        <v>16</v>
      </c>
      <c r="I4">
        <v>407</v>
      </c>
    </row>
    <row r="5" spans="1:9" x14ac:dyDescent="0.25">
      <c r="A5" s="1" t="s">
        <v>11</v>
      </c>
      <c r="B5">
        <v>146168</v>
      </c>
      <c r="C5" s="2">
        <v>40.095108032226563</v>
      </c>
      <c r="D5" s="2">
        <v>28.50662994384766</v>
      </c>
      <c r="E5">
        <v>0</v>
      </c>
      <c r="F5">
        <v>14</v>
      </c>
      <c r="G5">
        <v>43</v>
      </c>
      <c r="H5">
        <v>62</v>
      </c>
      <c r="I5">
        <v>94</v>
      </c>
    </row>
    <row r="6" spans="1:9" x14ac:dyDescent="0.25">
      <c r="A6" s="1" t="s">
        <v>12</v>
      </c>
      <c r="B6">
        <v>147330</v>
      </c>
      <c r="C6" s="2">
        <v>273.22958374023438</v>
      </c>
      <c r="D6" s="2">
        <v>50.548828125</v>
      </c>
      <c r="E6">
        <v>132</v>
      </c>
      <c r="F6">
        <v>255</v>
      </c>
      <c r="G6">
        <v>304</v>
      </c>
      <c r="H6">
        <v>304</v>
      </c>
      <c r="I6">
        <v>490</v>
      </c>
    </row>
    <row r="7" spans="1:9" x14ac:dyDescent="0.25">
      <c r="A7" s="1" t="s">
        <v>13</v>
      </c>
      <c r="B7">
        <v>147330</v>
      </c>
      <c r="C7" s="2">
        <v>0.99838405847549438</v>
      </c>
      <c r="D7" s="2">
        <v>3.5469431430101388E-2</v>
      </c>
      <c r="E7">
        <v>0</v>
      </c>
      <c r="F7">
        <v>1</v>
      </c>
      <c r="G7">
        <v>1</v>
      </c>
      <c r="H7">
        <v>1</v>
      </c>
      <c r="I7">
        <v>1</v>
      </c>
    </row>
    <row r="8" spans="1:9" x14ac:dyDescent="0.25">
      <c r="A8" s="1" t="s">
        <v>14</v>
      </c>
      <c r="B8">
        <v>147330</v>
      </c>
      <c r="C8" s="2">
        <v>1.616032095625997E-3</v>
      </c>
      <c r="D8" s="2">
        <v>3.5469431430101388E-2</v>
      </c>
      <c r="E8">
        <v>0</v>
      </c>
      <c r="F8">
        <v>0</v>
      </c>
      <c r="G8">
        <v>0</v>
      </c>
      <c r="H8">
        <v>0</v>
      </c>
      <c r="I8">
        <v>1</v>
      </c>
    </row>
    <row r="9" spans="1:9" x14ac:dyDescent="0.25">
      <c r="A9" s="1" t="s">
        <v>15</v>
      </c>
      <c r="B9">
        <v>147330</v>
      </c>
      <c r="C9" s="2">
        <v>0.57961297035217285</v>
      </c>
      <c r="D9" s="2">
        <v>0.49132648110389709</v>
      </c>
      <c r="E9">
        <v>0</v>
      </c>
      <c r="F9">
        <v>0</v>
      </c>
      <c r="G9">
        <v>1</v>
      </c>
      <c r="H9">
        <v>1</v>
      </c>
      <c r="I9">
        <v>1</v>
      </c>
    </row>
    <row r="10" spans="1:9" x14ac:dyDescent="0.25">
      <c r="A10" s="1" t="s">
        <v>16</v>
      </c>
      <c r="B10">
        <v>147330</v>
      </c>
      <c r="C10" s="2">
        <v>0.28617489337921143</v>
      </c>
      <c r="D10" s="2">
        <v>0.44939130544662481</v>
      </c>
      <c r="E10">
        <v>0</v>
      </c>
      <c r="F10">
        <v>0</v>
      </c>
      <c r="G10">
        <v>0</v>
      </c>
      <c r="H10">
        <v>1</v>
      </c>
      <c r="I10">
        <v>1</v>
      </c>
    </row>
    <row r="11" spans="1:9" x14ac:dyDescent="0.25">
      <c r="A11" s="1" t="s">
        <v>17</v>
      </c>
      <c r="B11">
        <v>147330</v>
      </c>
      <c r="C11" s="2">
        <v>0.13421089947223661</v>
      </c>
      <c r="D11" s="2">
        <v>0.33986493945121771</v>
      </c>
      <c r="E11">
        <v>0</v>
      </c>
      <c r="F11">
        <v>0</v>
      </c>
      <c r="G11">
        <v>0</v>
      </c>
      <c r="H11">
        <v>0</v>
      </c>
      <c r="I11">
        <v>1</v>
      </c>
    </row>
    <row r="12" spans="1:9" x14ac:dyDescent="0.25">
      <c r="A12" s="1" t="s">
        <v>18</v>
      </c>
      <c r="B12">
        <v>147330</v>
      </c>
      <c r="C12" s="2">
        <v>1.126722418121062E-5</v>
      </c>
      <c r="D12" s="2">
        <v>2.207251731306314E-3</v>
      </c>
      <c r="E12">
        <v>0</v>
      </c>
      <c r="F12">
        <v>0</v>
      </c>
      <c r="G12">
        <v>0</v>
      </c>
      <c r="H12">
        <v>0</v>
      </c>
      <c r="I12">
        <v>0.5</v>
      </c>
    </row>
    <row r="13" spans="1:9" x14ac:dyDescent="0.25">
      <c r="A13" s="1" t="s">
        <v>19</v>
      </c>
      <c r="B13">
        <v>147330</v>
      </c>
      <c r="C13" s="2">
        <v>0</v>
      </c>
      <c r="D13" s="2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25">
      <c r="A14" s="1" t="s">
        <v>20</v>
      </c>
      <c r="B14">
        <v>147330</v>
      </c>
      <c r="C14" s="2">
        <v>0.33250424265861511</v>
      </c>
      <c r="D14" s="2">
        <v>0.46644279360771179</v>
      </c>
      <c r="E14">
        <v>0</v>
      </c>
      <c r="F14">
        <v>0</v>
      </c>
      <c r="G14">
        <v>0</v>
      </c>
      <c r="H14">
        <v>1</v>
      </c>
      <c r="I14">
        <v>1</v>
      </c>
    </row>
    <row r="15" spans="1:9" x14ac:dyDescent="0.25">
      <c r="A15" s="1" t="s">
        <v>21</v>
      </c>
      <c r="B15">
        <v>147330</v>
      </c>
      <c r="C15" s="2">
        <v>0</v>
      </c>
      <c r="D15" s="2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25">
      <c r="A16" s="1" t="s">
        <v>22</v>
      </c>
      <c r="B16">
        <v>147330</v>
      </c>
      <c r="C16" s="2">
        <v>1.3969999272376301E-3</v>
      </c>
      <c r="D16" s="2">
        <v>3.574785590171814E-2</v>
      </c>
      <c r="E16">
        <v>0</v>
      </c>
      <c r="F16">
        <v>0</v>
      </c>
      <c r="G16">
        <v>0</v>
      </c>
      <c r="H16">
        <v>0</v>
      </c>
      <c r="I16">
        <v>1</v>
      </c>
    </row>
    <row r="17" spans="1:9" x14ac:dyDescent="0.25">
      <c r="A17" s="1" t="s">
        <v>23</v>
      </c>
      <c r="B17">
        <v>147330</v>
      </c>
      <c r="C17" s="2">
        <v>0</v>
      </c>
      <c r="D17" s="2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s="1" t="s">
        <v>24</v>
      </c>
      <c r="B18">
        <v>147330</v>
      </c>
      <c r="C18" s="2">
        <v>0</v>
      </c>
      <c r="D18" s="2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5">
      <c r="A19" s="1" t="s">
        <v>25</v>
      </c>
      <c r="B19">
        <v>147330</v>
      </c>
      <c r="C19" s="2">
        <v>0</v>
      </c>
      <c r="D19" s="2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25">
      <c r="A20" s="1" t="s">
        <v>26</v>
      </c>
      <c r="B20">
        <v>147330</v>
      </c>
      <c r="C20" s="2">
        <v>0</v>
      </c>
      <c r="D20" s="2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 x14ac:dyDescent="0.25">
      <c r="A21" s="1" t="s">
        <v>27</v>
      </c>
      <c r="B21">
        <v>147330</v>
      </c>
      <c r="C21" s="2">
        <v>0</v>
      </c>
      <c r="D21" s="2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x14ac:dyDescent="0.25">
      <c r="A22" s="1" t="s">
        <v>28</v>
      </c>
      <c r="B22">
        <v>147330</v>
      </c>
      <c r="C22" s="2">
        <v>3.393741963009234E-6</v>
      </c>
      <c r="D22" s="2">
        <v>1.302639953792095E-3</v>
      </c>
      <c r="E22">
        <v>0</v>
      </c>
      <c r="F22">
        <v>0</v>
      </c>
      <c r="G22">
        <v>0</v>
      </c>
      <c r="H22">
        <v>0</v>
      </c>
      <c r="I22">
        <v>0.5</v>
      </c>
    </row>
    <row r="23" spans="1:9" x14ac:dyDescent="0.25">
      <c r="A23" s="1" t="s">
        <v>29</v>
      </c>
      <c r="B23">
        <v>147330</v>
      </c>
      <c r="C23" s="2">
        <v>0</v>
      </c>
      <c r="D23" s="2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 x14ac:dyDescent="0.25">
      <c r="A24" s="1" t="s">
        <v>30</v>
      </c>
      <c r="B24">
        <v>147330</v>
      </c>
      <c r="C24" s="2">
        <v>0.6660802960395813</v>
      </c>
      <c r="D24" s="2">
        <v>0.4668295681476593</v>
      </c>
      <c r="E24">
        <v>0</v>
      </c>
      <c r="F24">
        <v>0</v>
      </c>
      <c r="G24">
        <v>1</v>
      </c>
      <c r="H24">
        <v>1</v>
      </c>
      <c r="I24">
        <v>1</v>
      </c>
    </row>
    <row r="25" spans="1:9" x14ac:dyDescent="0.25">
      <c r="A25" s="1" t="s">
        <v>31</v>
      </c>
      <c r="B25">
        <v>147330</v>
      </c>
      <c r="C25" s="2">
        <v>0</v>
      </c>
      <c r="D25" s="2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 x14ac:dyDescent="0.25">
      <c r="A26" s="1" t="s">
        <v>32</v>
      </c>
      <c r="B26">
        <v>147330</v>
      </c>
      <c r="C26" s="2">
        <v>3.393741963009234E-6</v>
      </c>
      <c r="D26" s="2">
        <v>1.3026398373767729E-3</v>
      </c>
      <c r="E26">
        <v>0</v>
      </c>
      <c r="F26">
        <v>0</v>
      </c>
      <c r="G26">
        <v>0</v>
      </c>
      <c r="H26">
        <v>0</v>
      </c>
      <c r="I26">
        <v>0.5</v>
      </c>
    </row>
    <row r="27" spans="1:9" x14ac:dyDescent="0.25">
      <c r="A27" s="1" t="s">
        <v>33</v>
      </c>
      <c r="B27">
        <v>147330</v>
      </c>
      <c r="C27" s="2">
        <v>0</v>
      </c>
      <c r="D27" s="2">
        <v>0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 x14ac:dyDescent="0.25">
      <c r="A28" s="1" t="s">
        <v>34</v>
      </c>
      <c r="B28">
        <v>147330</v>
      </c>
      <c r="C28" s="2">
        <v>0</v>
      </c>
      <c r="D28" s="2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 x14ac:dyDescent="0.25">
      <c r="A29" s="1" t="s">
        <v>35</v>
      </c>
      <c r="B29">
        <v>147330</v>
      </c>
      <c r="C29" s="2">
        <v>0</v>
      </c>
      <c r="D29" s="2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 x14ac:dyDescent="0.25">
      <c r="A30" s="1" t="s">
        <v>36</v>
      </c>
      <c r="B30">
        <v>147330</v>
      </c>
      <c r="C30" s="2">
        <v>0</v>
      </c>
      <c r="D30" s="2">
        <v>0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 x14ac:dyDescent="0.25">
      <c r="A31" s="1" t="s">
        <v>37</v>
      </c>
      <c r="B31">
        <v>147330</v>
      </c>
      <c r="C31" s="2">
        <v>0</v>
      </c>
      <c r="D31" s="2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25">
      <c r="A32" s="1" t="s">
        <v>38</v>
      </c>
      <c r="B32">
        <v>147330</v>
      </c>
      <c r="C32" s="2">
        <v>1.0181022195072289</v>
      </c>
      <c r="D32" s="2">
        <v>0.1337282703114393</v>
      </c>
      <c r="E32">
        <v>1</v>
      </c>
      <c r="F32">
        <v>1</v>
      </c>
      <c r="G32">
        <v>1</v>
      </c>
      <c r="H32">
        <v>1</v>
      </c>
      <c r="I32">
        <v>3</v>
      </c>
    </row>
    <row r="33" spans="1:9" x14ac:dyDescent="0.25">
      <c r="A33" s="1" t="s">
        <v>39</v>
      </c>
      <c r="B33">
        <v>147330</v>
      </c>
      <c r="C33" s="2">
        <v>6.2829027883708477E-3</v>
      </c>
      <c r="D33" s="2">
        <v>7.8781530261039734E-2</v>
      </c>
      <c r="E33">
        <v>0</v>
      </c>
      <c r="F33">
        <v>0</v>
      </c>
      <c r="G33">
        <v>0</v>
      </c>
      <c r="H33">
        <v>0</v>
      </c>
      <c r="I33">
        <v>1</v>
      </c>
    </row>
    <row r="34" spans="1:9" x14ac:dyDescent="0.25">
      <c r="A34" s="1" t="s">
        <v>40</v>
      </c>
      <c r="B34">
        <v>147330</v>
      </c>
      <c r="C34" s="2">
        <v>8.4843550212099217E-6</v>
      </c>
      <c r="D34" s="2">
        <v>1.9539482891559601E-3</v>
      </c>
      <c r="E34">
        <v>0</v>
      </c>
      <c r="F34">
        <v>0</v>
      </c>
      <c r="G34">
        <v>0</v>
      </c>
      <c r="H34">
        <v>0</v>
      </c>
      <c r="I34">
        <v>0.5</v>
      </c>
    </row>
    <row r="35" spans="1:9" x14ac:dyDescent="0.25">
      <c r="A35" s="1" t="s">
        <v>41</v>
      </c>
      <c r="B35">
        <v>147330</v>
      </c>
      <c r="C35" s="2">
        <v>0.19014668464660639</v>
      </c>
      <c r="D35" s="2">
        <v>0.39074379205703741</v>
      </c>
      <c r="E35">
        <v>0</v>
      </c>
      <c r="F35">
        <v>0</v>
      </c>
      <c r="G35">
        <v>0</v>
      </c>
      <c r="H35">
        <v>0</v>
      </c>
      <c r="I35">
        <v>1</v>
      </c>
    </row>
    <row r="36" spans="1:9" x14ac:dyDescent="0.25">
      <c r="A36" s="1" t="s">
        <v>42</v>
      </c>
      <c r="B36">
        <v>147330</v>
      </c>
      <c r="C36" s="2">
        <v>0.18091568350791931</v>
      </c>
      <c r="D36" s="2">
        <v>0.38102322816848749</v>
      </c>
      <c r="E36">
        <v>0</v>
      </c>
      <c r="F36">
        <v>0</v>
      </c>
      <c r="G36">
        <v>0</v>
      </c>
      <c r="H36">
        <v>0</v>
      </c>
      <c r="I36">
        <v>1</v>
      </c>
    </row>
    <row r="37" spans="1:9" x14ac:dyDescent="0.25">
      <c r="A37" s="1" t="s">
        <v>43</v>
      </c>
      <c r="B37">
        <v>147330</v>
      </c>
      <c r="C37" s="2">
        <v>0.1040671318769455</v>
      </c>
      <c r="D37" s="2">
        <v>0.30273476243019098</v>
      </c>
      <c r="E37">
        <v>0</v>
      </c>
      <c r="F37">
        <v>0</v>
      </c>
      <c r="G37">
        <v>0</v>
      </c>
      <c r="H37">
        <v>0</v>
      </c>
      <c r="I37">
        <v>1</v>
      </c>
    </row>
    <row r="38" spans="1:9" x14ac:dyDescent="0.25">
      <c r="A38" s="1" t="s">
        <v>44</v>
      </c>
      <c r="B38">
        <v>147330</v>
      </c>
      <c r="C38" s="2">
        <v>0.51857751607894897</v>
      </c>
      <c r="D38" s="2">
        <v>0.4975762665271759</v>
      </c>
      <c r="E38">
        <v>0</v>
      </c>
      <c r="F38">
        <v>0</v>
      </c>
      <c r="G38">
        <v>1</v>
      </c>
      <c r="H38">
        <v>1</v>
      </c>
      <c r="I38">
        <v>1</v>
      </c>
    </row>
    <row r="39" spans="1:9" x14ac:dyDescent="0.25">
      <c r="A39" s="1" t="s">
        <v>45</v>
      </c>
      <c r="B39">
        <v>147330</v>
      </c>
      <c r="C39" s="2">
        <v>6.4358924282714725E-4</v>
      </c>
      <c r="D39" s="2">
        <v>1.7721017822623249E-2</v>
      </c>
      <c r="E39">
        <v>0</v>
      </c>
      <c r="F39">
        <v>0</v>
      </c>
      <c r="G39">
        <v>0</v>
      </c>
      <c r="H39">
        <v>0</v>
      </c>
      <c r="I39">
        <v>0.5</v>
      </c>
    </row>
    <row r="40" spans="1:9" x14ac:dyDescent="0.25">
      <c r="A40" s="1" t="s">
        <v>46</v>
      </c>
      <c r="B40">
        <v>147330</v>
      </c>
      <c r="C40" s="2">
        <v>0.98988938331604004</v>
      </c>
      <c r="D40" s="2">
        <v>9.8050735890865326E-2</v>
      </c>
      <c r="E40">
        <v>0</v>
      </c>
      <c r="F40">
        <v>1</v>
      </c>
      <c r="G40">
        <v>1</v>
      </c>
      <c r="H40">
        <v>1</v>
      </c>
      <c r="I40">
        <v>1</v>
      </c>
    </row>
    <row r="41" spans="1:9" x14ac:dyDescent="0.25">
      <c r="A41" s="1" t="s">
        <v>47</v>
      </c>
      <c r="B41">
        <v>147330</v>
      </c>
      <c r="C41" s="2">
        <v>0</v>
      </c>
      <c r="D41" s="2">
        <v>0</v>
      </c>
      <c r="E41">
        <v>0</v>
      </c>
      <c r="F41">
        <v>0</v>
      </c>
      <c r="G41">
        <v>0</v>
      </c>
      <c r="H41">
        <v>0</v>
      </c>
      <c r="I41">
        <v>0</v>
      </c>
    </row>
    <row r="42" spans="1:9" x14ac:dyDescent="0.25">
      <c r="A42" s="1" t="s">
        <v>48</v>
      </c>
      <c r="B42">
        <v>147330</v>
      </c>
      <c r="C42" s="2">
        <v>9.4569334760308266E-3</v>
      </c>
      <c r="D42" s="2">
        <v>9.6473820507526398E-2</v>
      </c>
      <c r="E42">
        <v>0</v>
      </c>
      <c r="F42">
        <v>0</v>
      </c>
      <c r="G42">
        <v>0</v>
      </c>
      <c r="H42">
        <v>0</v>
      </c>
      <c r="I42">
        <v>1</v>
      </c>
    </row>
    <row r="43" spans="1:9" x14ac:dyDescent="0.25">
      <c r="A43" s="1" t="s">
        <v>49</v>
      </c>
      <c r="B43">
        <v>147330</v>
      </c>
      <c r="C43" s="2">
        <v>3.9033733308315277E-2</v>
      </c>
      <c r="D43" s="2">
        <v>0.19312338531017301</v>
      </c>
      <c r="E43">
        <v>0</v>
      </c>
      <c r="F43">
        <v>0</v>
      </c>
      <c r="G43">
        <v>0</v>
      </c>
      <c r="H43">
        <v>0</v>
      </c>
      <c r="I43">
        <v>1</v>
      </c>
    </row>
    <row r="44" spans="1:9" x14ac:dyDescent="0.25">
      <c r="A44" s="1" t="s">
        <v>50</v>
      </c>
      <c r="B44">
        <v>147330</v>
      </c>
      <c r="C44" s="2">
        <v>0.76441818475723267</v>
      </c>
      <c r="D44" s="2">
        <v>0.4232141375541687</v>
      </c>
      <c r="E44">
        <v>0</v>
      </c>
      <c r="F44">
        <v>1</v>
      </c>
      <c r="G44">
        <v>1</v>
      </c>
      <c r="H44">
        <v>1</v>
      </c>
      <c r="I44">
        <v>1</v>
      </c>
    </row>
    <row r="45" spans="1:9" x14ac:dyDescent="0.25">
      <c r="A45" s="1" t="s">
        <v>51</v>
      </c>
      <c r="B45">
        <v>147330</v>
      </c>
      <c r="C45" s="2">
        <v>0.19654789566993711</v>
      </c>
      <c r="D45" s="2">
        <v>0.3962840735912323</v>
      </c>
      <c r="E45">
        <v>0</v>
      </c>
      <c r="F45">
        <v>0</v>
      </c>
      <c r="G45">
        <v>0</v>
      </c>
      <c r="H45">
        <v>0</v>
      </c>
      <c r="I45">
        <v>1</v>
      </c>
    </row>
    <row r="46" spans="1:9" x14ac:dyDescent="0.25">
      <c r="A46" s="1" t="s">
        <v>52</v>
      </c>
      <c r="B46">
        <v>147330</v>
      </c>
      <c r="C46" s="2">
        <v>3</v>
      </c>
      <c r="D46" s="2">
        <v>0</v>
      </c>
      <c r="E46">
        <v>3</v>
      </c>
      <c r="F46">
        <v>3</v>
      </c>
      <c r="G46">
        <v>3</v>
      </c>
      <c r="H46">
        <v>3</v>
      </c>
      <c r="I46">
        <v>3</v>
      </c>
    </row>
    <row r="47" spans="1:9" x14ac:dyDescent="0.25">
      <c r="A47" s="1" t="s">
        <v>53</v>
      </c>
      <c r="B47">
        <v>147330</v>
      </c>
      <c r="C47" s="2">
        <v>0.52036245163917738</v>
      </c>
      <c r="D47" s="2">
        <v>0.4995868939748318</v>
      </c>
      <c r="E47">
        <v>0</v>
      </c>
      <c r="F47">
        <v>0</v>
      </c>
      <c r="G47">
        <v>1</v>
      </c>
      <c r="H47">
        <v>1</v>
      </c>
      <c r="I47">
        <v>1</v>
      </c>
    </row>
    <row r="48" spans="1:9" x14ac:dyDescent="0.25">
      <c r="A48" s="1" t="s">
        <v>54</v>
      </c>
      <c r="B48">
        <v>147330</v>
      </c>
      <c r="C48" s="2">
        <v>2.8371682617253789E-3</v>
      </c>
      <c r="D48" s="2">
        <v>5.3189641291403737E-2</v>
      </c>
      <c r="E48">
        <v>0</v>
      </c>
      <c r="F48">
        <v>0</v>
      </c>
      <c r="G48">
        <v>0</v>
      </c>
      <c r="H48">
        <v>0</v>
      </c>
      <c r="I48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1"/>
  <sheetViews>
    <sheetView tabSelected="1" workbookViewId="0">
      <selection activeCell="A3" sqref="A3:B11"/>
    </sheetView>
  </sheetViews>
  <sheetFormatPr defaultRowHeight="15" x14ac:dyDescent="0.25"/>
  <sheetData>
    <row r="1" spans="1:2" x14ac:dyDescent="0.25">
      <c r="A1" s="1" t="s">
        <v>55</v>
      </c>
      <c r="B1" s="1" t="s">
        <v>56</v>
      </c>
    </row>
    <row r="2" spans="1:2" x14ac:dyDescent="0.25">
      <c r="A2" t="s">
        <v>72</v>
      </c>
      <c r="B2">
        <v>72.39</v>
      </c>
    </row>
    <row r="3" spans="1:2" x14ac:dyDescent="0.25">
      <c r="A3" t="s">
        <v>58</v>
      </c>
      <c r="B3">
        <v>4.63</v>
      </c>
    </row>
    <row r="4" spans="1:2" x14ac:dyDescent="0.25">
      <c r="A4" t="s">
        <v>63</v>
      </c>
      <c r="B4">
        <v>3.61</v>
      </c>
    </row>
    <row r="5" spans="1:2" x14ac:dyDescent="0.25">
      <c r="A5" t="s">
        <v>65</v>
      </c>
      <c r="B5">
        <v>2.12</v>
      </c>
    </row>
    <row r="6" spans="1:2" x14ac:dyDescent="0.25">
      <c r="A6" t="s">
        <v>73</v>
      </c>
      <c r="B6">
        <v>1.83</v>
      </c>
    </row>
    <row r="7" spans="1:2" x14ac:dyDescent="0.25">
      <c r="A7" t="s">
        <v>64</v>
      </c>
      <c r="B7">
        <v>1.59</v>
      </c>
    </row>
    <row r="8" spans="1:2" x14ac:dyDescent="0.25">
      <c r="A8" t="s">
        <v>59</v>
      </c>
      <c r="B8">
        <v>1.58</v>
      </c>
    </row>
    <row r="9" spans="1:2" x14ac:dyDescent="0.25">
      <c r="A9" t="s">
        <v>57</v>
      </c>
      <c r="B9">
        <v>1.46</v>
      </c>
    </row>
    <row r="10" spans="1:2" x14ac:dyDescent="0.25">
      <c r="A10" t="s">
        <v>71</v>
      </c>
      <c r="B10">
        <v>1.1200000000000001</v>
      </c>
    </row>
    <row r="11" spans="1:2" x14ac:dyDescent="0.25">
      <c r="A11" t="s">
        <v>74</v>
      </c>
      <c r="B11">
        <v>0.89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48"/>
  <sheetViews>
    <sheetView workbookViewId="0">
      <selection activeCell="B12" sqref="B12"/>
    </sheetView>
  </sheetViews>
  <sheetFormatPr defaultRowHeight="15" x14ac:dyDescent="0.25"/>
  <cols>
    <col min="1" max="1" width="23.140625" bestFit="1" customWidth="1"/>
  </cols>
  <sheetData>
    <row r="1" spans="1: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1" t="s">
        <v>8</v>
      </c>
      <c r="B2">
        <v>369684</v>
      </c>
      <c r="C2" s="2">
        <v>1.135599593166055</v>
      </c>
      <c r="D2" s="2">
        <v>0.39235369945474369</v>
      </c>
      <c r="E2">
        <v>1</v>
      </c>
      <c r="F2">
        <v>1</v>
      </c>
      <c r="G2">
        <v>1</v>
      </c>
      <c r="H2">
        <v>1</v>
      </c>
      <c r="I2">
        <v>11</v>
      </c>
    </row>
    <row r="3" spans="1:9" x14ac:dyDescent="0.25">
      <c r="A3" s="1" t="s">
        <v>9</v>
      </c>
      <c r="B3">
        <v>369684</v>
      </c>
      <c r="C3" s="2">
        <v>166.4867858886719</v>
      </c>
      <c r="D3" s="2">
        <v>65.351661682128906</v>
      </c>
      <c r="E3">
        <v>0</v>
      </c>
      <c r="F3">
        <v>112.129997253418</v>
      </c>
      <c r="G3">
        <v>172.5</v>
      </c>
      <c r="H3">
        <v>190.8999938964844</v>
      </c>
      <c r="I3">
        <v>524.4000244140625</v>
      </c>
    </row>
    <row r="4" spans="1:9" x14ac:dyDescent="0.25">
      <c r="A4" s="1" t="s">
        <v>10</v>
      </c>
      <c r="B4">
        <v>44831</v>
      </c>
      <c r="C4" s="2">
        <v>24.056301116943359</v>
      </c>
      <c r="D4" s="2">
        <v>34.964427947998047</v>
      </c>
      <c r="E4">
        <v>0</v>
      </c>
      <c r="F4">
        <v>0</v>
      </c>
      <c r="G4">
        <v>9</v>
      </c>
      <c r="H4">
        <v>37</v>
      </c>
      <c r="I4">
        <v>442</v>
      </c>
    </row>
    <row r="5" spans="1:9" x14ac:dyDescent="0.25">
      <c r="A5" s="1" t="s">
        <v>11</v>
      </c>
      <c r="B5">
        <v>369684</v>
      </c>
      <c r="C5" s="2">
        <v>44.695735931396477</v>
      </c>
      <c r="D5" s="2">
        <v>14.421772956848139</v>
      </c>
      <c r="E5">
        <v>24</v>
      </c>
      <c r="F5">
        <v>34</v>
      </c>
      <c r="G5">
        <v>40</v>
      </c>
      <c r="H5">
        <v>52</v>
      </c>
      <c r="I5">
        <v>107</v>
      </c>
    </row>
    <row r="6" spans="1:9" x14ac:dyDescent="0.25">
      <c r="A6" s="1" t="s">
        <v>12</v>
      </c>
      <c r="B6">
        <v>369684</v>
      </c>
      <c r="C6" s="2">
        <v>17.039947509765621</v>
      </c>
      <c r="D6" s="2">
        <v>28.098756790161129</v>
      </c>
      <c r="E6">
        <v>1</v>
      </c>
      <c r="F6">
        <v>4</v>
      </c>
      <c r="G6">
        <v>7</v>
      </c>
      <c r="H6">
        <v>10</v>
      </c>
      <c r="I6">
        <v>157</v>
      </c>
    </row>
    <row r="7" spans="1:9" x14ac:dyDescent="0.25">
      <c r="A7" s="1" t="s">
        <v>13</v>
      </c>
      <c r="B7">
        <v>369684</v>
      </c>
      <c r="C7" s="2">
        <v>0.93441611528396606</v>
      </c>
      <c r="D7" s="2">
        <v>0.24401953816413879</v>
      </c>
      <c r="E7">
        <v>0</v>
      </c>
      <c r="F7">
        <v>1</v>
      </c>
      <c r="G7">
        <v>1</v>
      </c>
      <c r="H7">
        <v>1</v>
      </c>
      <c r="I7">
        <v>1</v>
      </c>
    </row>
    <row r="8" spans="1:9" x14ac:dyDescent="0.25">
      <c r="A8" s="1" t="s">
        <v>14</v>
      </c>
      <c r="B8">
        <v>369684</v>
      </c>
      <c r="C8" s="2">
        <v>6.558401882648468E-2</v>
      </c>
      <c r="D8" s="2">
        <v>0.24401955306529999</v>
      </c>
      <c r="E8">
        <v>0</v>
      </c>
      <c r="F8">
        <v>0</v>
      </c>
      <c r="G8">
        <v>0</v>
      </c>
      <c r="H8">
        <v>0</v>
      </c>
      <c r="I8">
        <v>1</v>
      </c>
    </row>
    <row r="9" spans="1:9" x14ac:dyDescent="0.25">
      <c r="A9" s="1" t="s">
        <v>15</v>
      </c>
      <c r="B9">
        <v>369684</v>
      </c>
      <c r="C9" s="2">
        <v>0.62688088417053223</v>
      </c>
      <c r="D9" s="2">
        <v>0.46792864799499512</v>
      </c>
      <c r="E9">
        <v>0</v>
      </c>
      <c r="F9">
        <v>0</v>
      </c>
      <c r="G9">
        <v>1</v>
      </c>
      <c r="H9">
        <v>1</v>
      </c>
      <c r="I9">
        <v>1</v>
      </c>
    </row>
    <row r="10" spans="1:9" x14ac:dyDescent="0.25">
      <c r="A10" s="1" t="s">
        <v>16</v>
      </c>
      <c r="B10">
        <v>369684</v>
      </c>
      <c r="C10" s="2">
        <v>0.2724381685256958</v>
      </c>
      <c r="D10" s="2">
        <v>0.43096798658370972</v>
      </c>
      <c r="E10">
        <v>0</v>
      </c>
      <c r="F10">
        <v>0</v>
      </c>
      <c r="G10">
        <v>0</v>
      </c>
      <c r="H10">
        <v>0.5</v>
      </c>
      <c r="I10">
        <v>1</v>
      </c>
    </row>
    <row r="11" spans="1:9" x14ac:dyDescent="0.25">
      <c r="A11" s="1" t="s">
        <v>17</v>
      </c>
      <c r="B11">
        <v>369684</v>
      </c>
      <c r="C11" s="2">
        <v>0.1006747186183929</v>
      </c>
      <c r="D11" s="2">
        <v>0.29159015417098999</v>
      </c>
      <c r="E11">
        <v>0</v>
      </c>
      <c r="F11">
        <v>0</v>
      </c>
      <c r="G11">
        <v>0</v>
      </c>
      <c r="H11">
        <v>0</v>
      </c>
      <c r="I11">
        <v>1</v>
      </c>
    </row>
    <row r="12" spans="1:9" x14ac:dyDescent="0.25">
      <c r="A12" s="1" t="s">
        <v>18</v>
      </c>
      <c r="B12">
        <v>369684</v>
      </c>
      <c r="C12" s="2">
        <v>1.3236709637567401E-3</v>
      </c>
      <c r="D12" s="2">
        <v>3.1676426529884338E-2</v>
      </c>
      <c r="E12">
        <v>0</v>
      </c>
      <c r="F12">
        <v>0</v>
      </c>
      <c r="G12">
        <v>0</v>
      </c>
      <c r="H12">
        <v>0</v>
      </c>
      <c r="I12">
        <v>1</v>
      </c>
    </row>
    <row r="13" spans="1:9" x14ac:dyDescent="0.25">
      <c r="A13" s="1" t="s">
        <v>19</v>
      </c>
      <c r="B13">
        <v>369684</v>
      </c>
      <c r="C13" s="2">
        <v>5.8617632021196193E-5</v>
      </c>
      <c r="D13" s="2">
        <v>6.6701709292829037E-3</v>
      </c>
      <c r="E13">
        <v>0</v>
      </c>
      <c r="F13">
        <v>0</v>
      </c>
      <c r="G13">
        <v>0</v>
      </c>
      <c r="H13">
        <v>0</v>
      </c>
      <c r="I13">
        <v>1</v>
      </c>
    </row>
    <row r="14" spans="1:9" x14ac:dyDescent="0.25">
      <c r="A14" s="1" t="s">
        <v>20</v>
      </c>
      <c r="B14">
        <v>369684</v>
      </c>
      <c r="C14" s="2">
        <v>0.42286697030067438</v>
      </c>
      <c r="D14" s="2">
        <v>0.47246512770652771</v>
      </c>
      <c r="E14">
        <v>0</v>
      </c>
      <c r="F14">
        <v>0</v>
      </c>
      <c r="G14">
        <v>0</v>
      </c>
      <c r="H14">
        <v>1</v>
      </c>
      <c r="I14">
        <v>1</v>
      </c>
    </row>
    <row r="15" spans="1:9" x14ac:dyDescent="0.25">
      <c r="A15" s="1" t="s">
        <v>21</v>
      </c>
      <c r="B15">
        <v>369684</v>
      </c>
      <c r="C15" s="2">
        <v>1.3525064787245361E-5</v>
      </c>
      <c r="D15" s="2">
        <v>3.2893603201955561E-3</v>
      </c>
      <c r="E15">
        <v>0</v>
      </c>
      <c r="F15">
        <v>0</v>
      </c>
      <c r="G15">
        <v>0</v>
      </c>
      <c r="H15">
        <v>0</v>
      </c>
      <c r="I15">
        <v>1</v>
      </c>
    </row>
    <row r="16" spans="1:9" x14ac:dyDescent="0.25">
      <c r="A16" s="1" t="s">
        <v>22</v>
      </c>
      <c r="B16">
        <v>369684</v>
      </c>
      <c r="C16" s="2">
        <v>1.004806719720364E-2</v>
      </c>
      <c r="D16" s="2">
        <v>8.7465532124042511E-2</v>
      </c>
      <c r="E16">
        <v>0</v>
      </c>
      <c r="F16">
        <v>0</v>
      </c>
      <c r="G16">
        <v>0</v>
      </c>
      <c r="H16">
        <v>0</v>
      </c>
      <c r="I16">
        <v>1</v>
      </c>
    </row>
    <row r="17" spans="1:9" x14ac:dyDescent="0.25">
      <c r="A17" s="1" t="s">
        <v>23</v>
      </c>
      <c r="B17">
        <v>369684</v>
      </c>
      <c r="C17" s="2">
        <v>4.5985219912836328E-5</v>
      </c>
      <c r="D17" s="2">
        <v>6.369707640260458E-3</v>
      </c>
      <c r="E17">
        <v>0</v>
      </c>
      <c r="F17">
        <v>0</v>
      </c>
      <c r="G17">
        <v>0</v>
      </c>
      <c r="H17">
        <v>0</v>
      </c>
      <c r="I17">
        <v>1</v>
      </c>
    </row>
    <row r="18" spans="1:9" x14ac:dyDescent="0.25">
      <c r="A18" s="1" t="s">
        <v>24</v>
      </c>
      <c r="B18">
        <v>369684</v>
      </c>
      <c r="C18" s="2">
        <v>0</v>
      </c>
      <c r="D18" s="2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5">
      <c r="A19" s="1" t="s">
        <v>25</v>
      </c>
      <c r="B19">
        <v>369684</v>
      </c>
      <c r="C19" s="2">
        <v>0</v>
      </c>
      <c r="D19" s="2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25">
      <c r="A20" s="1" t="s">
        <v>26</v>
      </c>
      <c r="B20">
        <v>369684</v>
      </c>
      <c r="C20" s="2">
        <v>0</v>
      </c>
      <c r="D20" s="2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 x14ac:dyDescent="0.25">
      <c r="A21" s="1" t="s">
        <v>27</v>
      </c>
      <c r="B21">
        <v>369684</v>
      </c>
      <c r="C21" s="2">
        <v>0</v>
      </c>
      <c r="D21" s="2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x14ac:dyDescent="0.25">
      <c r="A22" s="1" t="s">
        <v>28</v>
      </c>
      <c r="B22">
        <v>369684</v>
      </c>
      <c r="C22" s="2">
        <v>1.20957347098738E-3</v>
      </c>
      <c r="D22" s="2">
        <v>3.069149516522884E-2</v>
      </c>
      <c r="E22">
        <v>0</v>
      </c>
      <c r="F22">
        <v>0</v>
      </c>
      <c r="G22">
        <v>0</v>
      </c>
      <c r="H22">
        <v>0</v>
      </c>
      <c r="I22">
        <v>1</v>
      </c>
    </row>
    <row r="23" spans="1:9" x14ac:dyDescent="0.25">
      <c r="A23" s="1" t="s">
        <v>29</v>
      </c>
      <c r="B23">
        <v>369684</v>
      </c>
      <c r="C23" s="2">
        <v>7.8445373219437897E-5</v>
      </c>
      <c r="D23" s="2">
        <v>8.3049293607473373E-3</v>
      </c>
      <c r="E23">
        <v>0</v>
      </c>
      <c r="F23">
        <v>0</v>
      </c>
      <c r="G23">
        <v>0</v>
      </c>
      <c r="H23">
        <v>0</v>
      </c>
      <c r="I23">
        <v>1</v>
      </c>
    </row>
    <row r="24" spans="1:9" x14ac:dyDescent="0.25">
      <c r="A24" s="1" t="s">
        <v>30</v>
      </c>
      <c r="B24">
        <v>369684</v>
      </c>
      <c r="C24" s="2">
        <v>0.55228877067565918</v>
      </c>
      <c r="D24" s="2">
        <v>0.47693124413490301</v>
      </c>
      <c r="E24">
        <v>0</v>
      </c>
      <c r="F24">
        <v>0</v>
      </c>
      <c r="G24">
        <v>1</v>
      </c>
      <c r="H24">
        <v>1</v>
      </c>
      <c r="I24">
        <v>1</v>
      </c>
    </row>
    <row r="25" spans="1:9" x14ac:dyDescent="0.25">
      <c r="A25" s="1" t="s">
        <v>31</v>
      </c>
      <c r="B25">
        <v>369684</v>
      </c>
      <c r="C25" s="2">
        <v>9.4675451691728085E-6</v>
      </c>
      <c r="D25" s="2">
        <v>2.467023441568017E-3</v>
      </c>
      <c r="E25">
        <v>0</v>
      </c>
      <c r="F25">
        <v>0</v>
      </c>
      <c r="G25">
        <v>0</v>
      </c>
      <c r="H25">
        <v>0</v>
      </c>
      <c r="I25">
        <v>1</v>
      </c>
    </row>
    <row r="26" spans="1:9" x14ac:dyDescent="0.25">
      <c r="A26" s="1" t="s">
        <v>32</v>
      </c>
      <c r="B26">
        <v>369684</v>
      </c>
      <c r="C26" s="2">
        <v>1.1899432167410851E-2</v>
      </c>
      <c r="D26" s="2">
        <v>9.0690143406391144E-2</v>
      </c>
      <c r="E26">
        <v>0</v>
      </c>
      <c r="F26">
        <v>0</v>
      </c>
      <c r="G26">
        <v>0</v>
      </c>
      <c r="H26">
        <v>0</v>
      </c>
      <c r="I26">
        <v>1</v>
      </c>
    </row>
    <row r="27" spans="1:9" x14ac:dyDescent="0.25">
      <c r="A27" s="1" t="s">
        <v>33</v>
      </c>
      <c r="B27">
        <v>369684</v>
      </c>
      <c r="C27" s="2">
        <v>1.5237338084261859E-4</v>
      </c>
      <c r="D27" s="2">
        <v>1.215298101305962E-2</v>
      </c>
      <c r="E27">
        <v>0</v>
      </c>
      <c r="F27">
        <v>0</v>
      </c>
      <c r="G27">
        <v>0</v>
      </c>
      <c r="H27">
        <v>0</v>
      </c>
      <c r="I27">
        <v>1</v>
      </c>
    </row>
    <row r="28" spans="1:9" x14ac:dyDescent="0.25">
      <c r="A28" s="1" t="s">
        <v>34</v>
      </c>
      <c r="B28">
        <v>369684</v>
      </c>
      <c r="C28" s="2">
        <v>0</v>
      </c>
      <c r="D28" s="2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 x14ac:dyDescent="0.25">
      <c r="A29" s="1" t="s">
        <v>35</v>
      </c>
      <c r="B29">
        <v>369684</v>
      </c>
      <c r="C29" s="2">
        <v>0</v>
      </c>
      <c r="D29" s="2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 x14ac:dyDescent="0.25">
      <c r="A30" s="1" t="s">
        <v>36</v>
      </c>
      <c r="B30">
        <v>369684</v>
      </c>
      <c r="C30" s="2">
        <v>0</v>
      </c>
      <c r="D30" s="2">
        <v>0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 x14ac:dyDescent="0.25">
      <c r="A31" s="1" t="s">
        <v>37</v>
      </c>
      <c r="B31">
        <v>369684</v>
      </c>
      <c r="C31" s="2">
        <v>0</v>
      </c>
      <c r="D31" s="2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25">
      <c r="A32" s="1" t="s">
        <v>38</v>
      </c>
      <c r="B32">
        <v>369684</v>
      </c>
      <c r="C32" s="2">
        <v>1.0954166260914731</v>
      </c>
      <c r="D32" s="2">
        <v>0.29589090270985952</v>
      </c>
      <c r="E32">
        <v>1</v>
      </c>
      <c r="F32">
        <v>1</v>
      </c>
      <c r="G32">
        <v>1</v>
      </c>
      <c r="H32">
        <v>1</v>
      </c>
      <c r="I32">
        <v>4</v>
      </c>
    </row>
    <row r="33" spans="1:9" x14ac:dyDescent="0.25">
      <c r="A33" s="1" t="s">
        <v>39</v>
      </c>
      <c r="B33">
        <v>369684</v>
      </c>
      <c r="C33" s="2">
        <v>9.1025577858090401E-3</v>
      </c>
      <c r="D33" s="2">
        <v>8.9763186872005463E-2</v>
      </c>
      <c r="E33">
        <v>0</v>
      </c>
      <c r="F33">
        <v>0</v>
      </c>
      <c r="G33">
        <v>0</v>
      </c>
      <c r="H33">
        <v>0</v>
      </c>
      <c r="I33">
        <v>1</v>
      </c>
    </row>
    <row r="34" spans="1:9" x14ac:dyDescent="0.25">
      <c r="A34" s="1" t="s">
        <v>40</v>
      </c>
      <c r="B34">
        <v>369684</v>
      </c>
      <c r="C34" s="2">
        <v>6.4861876890063286E-3</v>
      </c>
      <c r="D34" s="2">
        <v>7.2803087532520294E-2</v>
      </c>
      <c r="E34">
        <v>0</v>
      </c>
      <c r="F34">
        <v>0</v>
      </c>
      <c r="G34">
        <v>0</v>
      </c>
      <c r="H34">
        <v>0</v>
      </c>
      <c r="I34">
        <v>1</v>
      </c>
    </row>
    <row r="35" spans="1:9" x14ac:dyDescent="0.25">
      <c r="A35" s="1" t="s">
        <v>41</v>
      </c>
      <c r="B35">
        <v>369684</v>
      </c>
      <c r="C35" s="2">
        <v>0.1218832358717918</v>
      </c>
      <c r="D35" s="2">
        <v>0.31392672657966608</v>
      </c>
      <c r="E35">
        <v>0</v>
      </c>
      <c r="F35">
        <v>0</v>
      </c>
      <c r="G35">
        <v>0</v>
      </c>
      <c r="H35">
        <v>0</v>
      </c>
      <c r="I35">
        <v>1</v>
      </c>
    </row>
    <row r="36" spans="1:9" x14ac:dyDescent="0.25">
      <c r="A36" s="1" t="s">
        <v>42</v>
      </c>
      <c r="B36">
        <v>369684</v>
      </c>
      <c r="C36" s="2">
        <v>0.52285027503967285</v>
      </c>
      <c r="D36" s="2">
        <v>0.4885827898979187</v>
      </c>
      <c r="E36">
        <v>0</v>
      </c>
      <c r="F36">
        <v>0</v>
      </c>
      <c r="G36">
        <v>1</v>
      </c>
      <c r="H36">
        <v>1</v>
      </c>
      <c r="I36">
        <v>1</v>
      </c>
    </row>
    <row r="37" spans="1:9" x14ac:dyDescent="0.25">
      <c r="A37" s="1" t="s">
        <v>43</v>
      </c>
      <c r="B37">
        <v>369684</v>
      </c>
      <c r="C37" s="2">
        <v>0.30561023950576782</v>
      </c>
      <c r="D37" s="2">
        <v>0.45181673765182501</v>
      </c>
      <c r="E37">
        <v>0</v>
      </c>
      <c r="F37">
        <v>0</v>
      </c>
      <c r="G37">
        <v>0</v>
      </c>
      <c r="H37">
        <v>1</v>
      </c>
      <c r="I37">
        <v>1</v>
      </c>
    </row>
    <row r="38" spans="1:9" x14ac:dyDescent="0.25">
      <c r="A38" s="1" t="s">
        <v>44</v>
      </c>
      <c r="B38">
        <v>369684</v>
      </c>
      <c r="C38" s="2">
        <v>3.4050434827804572E-2</v>
      </c>
      <c r="D38" s="2">
        <v>0.1681060045957565</v>
      </c>
      <c r="E38">
        <v>0</v>
      </c>
      <c r="F38">
        <v>0</v>
      </c>
      <c r="G38">
        <v>0</v>
      </c>
      <c r="H38">
        <v>0</v>
      </c>
      <c r="I38">
        <v>1</v>
      </c>
    </row>
    <row r="39" spans="1:9" x14ac:dyDescent="0.25">
      <c r="A39" s="1" t="s">
        <v>45</v>
      </c>
      <c r="B39">
        <v>369684</v>
      </c>
      <c r="C39" s="2">
        <v>0.46807831525802612</v>
      </c>
      <c r="D39" s="2">
        <v>0.4951367974281311</v>
      </c>
      <c r="E39">
        <v>0</v>
      </c>
      <c r="F39">
        <v>0</v>
      </c>
      <c r="G39">
        <v>0</v>
      </c>
      <c r="H39">
        <v>1</v>
      </c>
      <c r="I39">
        <v>1</v>
      </c>
    </row>
    <row r="40" spans="1:9" x14ac:dyDescent="0.25">
      <c r="A40" s="1" t="s">
        <v>46</v>
      </c>
      <c r="B40">
        <v>369684</v>
      </c>
      <c r="C40" s="2">
        <v>0.52281010150909424</v>
      </c>
      <c r="D40" s="2">
        <v>0.49567225575447083</v>
      </c>
      <c r="E40">
        <v>0</v>
      </c>
      <c r="F40">
        <v>0</v>
      </c>
      <c r="G40">
        <v>1</v>
      </c>
      <c r="H40">
        <v>1</v>
      </c>
      <c r="I40">
        <v>1</v>
      </c>
    </row>
    <row r="41" spans="1:9" x14ac:dyDescent="0.25">
      <c r="A41" s="1" t="s">
        <v>47</v>
      </c>
      <c r="B41">
        <v>369684</v>
      </c>
      <c r="C41" s="2">
        <v>2.7347681680112149E-5</v>
      </c>
      <c r="D41" s="2">
        <v>3.2795162405818701E-3</v>
      </c>
      <c r="E41">
        <v>0</v>
      </c>
      <c r="F41">
        <v>0</v>
      </c>
      <c r="G41">
        <v>0</v>
      </c>
      <c r="H41">
        <v>0</v>
      </c>
      <c r="I41">
        <v>0.5</v>
      </c>
    </row>
    <row r="42" spans="1:9" x14ac:dyDescent="0.25">
      <c r="A42" s="1" t="s">
        <v>48</v>
      </c>
      <c r="B42">
        <v>369684</v>
      </c>
      <c r="C42" s="2">
        <v>3.00434953533113E-3</v>
      </c>
      <c r="D42" s="2">
        <v>5.2878554910421371E-2</v>
      </c>
      <c r="E42">
        <v>0</v>
      </c>
      <c r="F42">
        <v>0</v>
      </c>
      <c r="G42">
        <v>0</v>
      </c>
      <c r="H42">
        <v>0</v>
      </c>
      <c r="I42">
        <v>1</v>
      </c>
    </row>
    <row r="43" spans="1:9" x14ac:dyDescent="0.25">
      <c r="A43" s="1" t="s">
        <v>49</v>
      </c>
      <c r="B43">
        <v>369684</v>
      </c>
      <c r="C43" s="2">
        <v>0.2109191715717316</v>
      </c>
      <c r="D43" s="2">
        <v>0.40319487452507019</v>
      </c>
      <c r="E43">
        <v>0</v>
      </c>
      <c r="F43">
        <v>0</v>
      </c>
      <c r="G43">
        <v>0</v>
      </c>
      <c r="H43">
        <v>0</v>
      </c>
      <c r="I43">
        <v>1</v>
      </c>
    </row>
    <row r="44" spans="1:9" x14ac:dyDescent="0.25">
      <c r="A44" s="1" t="s">
        <v>50</v>
      </c>
      <c r="B44">
        <v>369684</v>
      </c>
      <c r="C44" s="2">
        <v>0.1221844479441643</v>
      </c>
      <c r="D44" s="2">
        <v>0.32351222634315491</v>
      </c>
      <c r="E44">
        <v>0</v>
      </c>
      <c r="F44">
        <v>0</v>
      </c>
      <c r="G44">
        <v>0</v>
      </c>
      <c r="H44">
        <v>0</v>
      </c>
      <c r="I44">
        <v>1</v>
      </c>
    </row>
    <row r="45" spans="1:9" x14ac:dyDescent="0.25">
      <c r="A45" s="1" t="s">
        <v>51</v>
      </c>
      <c r="B45">
        <v>369684</v>
      </c>
      <c r="C45" s="2">
        <v>0.66689223051071167</v>
      </c>
      <c r="D45" s="2">
        <v>0.46553650498390198</v>
      </c>
      <c r="E45">
        <v>0</v>
      </c>
      <c r="F45">
        <v>0</v>
      </c>
      <c r="G45">
        <v>1</v>
      </c>
      <c r="H45">
        <v>1</v>
      </c>
      <c r="I45">
        <v>1</v>
      </c>
    </row>
    <row r="46" spans="1:9" x14ac:dyDescent="0.25">
      <c r="A46" s="1" t="s">
        <v>52</v>
      </c>
      <c r="B46">
        <v>369684</v>
      </c>
      <c r="C46" s="2">
        <v>4</v>
      </c>
      <c r="D46" s="2">
        <v>0</v>
      </c>
      <c r="E46">
        <v>4</v>
      </c>
      <c r="F46">
        <v>4</v>
      </c>
      <c r="G46">
        <v>4</v>
      </c>
      <c r="H46">
        <v>4</v>
      </c>
      <c r="I46">
        <v>4</v>
      </c>
    </row>
    <row r="47" spans="1:9" x14ac:dyDescent="0.25">
      <c r="A47" s="1" t="s">
        <v>53</v>
      </c>
      <c r="B47">
        <v>369684</v>
      </c>
      <c r="C47" s="2">
        <v>0.51527520801549431</v>
      </c>
      <c r="D47" s="2">
        <v>0.49976728948979582</v>
      </c>
      <c r="E47">
        <v>0</v>
      </c>
      <c r="F47">
        <v>0</v>
      </c>
      <c r="G47">
        <v>1</v>
      </c>
      <c r="H47">
        <v>1</v>
      </c>
      <c r="I47">
        <v>1</v>
      </c>
    </row>
    <row r="48" spans="1:9" x14ac:dyDescent="0.25">
      <c r="A48" s="1" t="s">
        <v>54</v>
      </c>
      <c r="B48">
        <v>369684</v>
      </c>
      <c r="C48" s="2">
        <v>3.8492333993356491E-2</v>
      </c>
      <c r="D48" s="2">
        <v>0.19238184511986439</v>
      </c>
      <c r="E48">
        <v>0</v>
      </c>
      <c r="F48">
        <v>0</v>
      </c>
      <c r="G48">
        <v>0</v>
      </c>
      <c r="H48">
        <v>0</v>
      </c>
      <c r="I48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1"/>
  <sheetViews>
    <sheetView workbookViewId="0"/>
  </sheetViews>
  <sheetFormatPr defaultRowHeight="15" x14ac:dyDescent="0.25"/>
  <sheetData>
    <row r="1" spans="1:2" x14ac:dyDescent="0.25">
      <c r="A1" s="1" t="s">
        <v>55</v>
      </c>
      <c r="B1" s="1" t="s">
        <v>56</v>
      </c>
    </row>
    <row r="2" spans="1:2" x14ac:dyDescent="0.25">
      <c r="A2" t="s">
        <v>63</v>
      </c>
      <c r="B2">
        <v>23.86</v>
      </c>
    </row>
    <row r="3" spans="1:2" x14ac:dyDescent="0.25">
      <c r="A3" t="s">
        <v>58</v>
      </c>
      <c r="B3">
        <v>12.65</v>
      </c>
    </row>
    <row r="4" spans="1:2" x14ac:dyDescent="0.25">
      <c r="A4" t="s">
        <v>64</v>
      </c>
      <c r="B4">
        <v>7.61</v>
      </c>
    </row>
    <row r="5" spans="1:2" x14ac:dyDescent="0.25">
      <c r="A5" t="s">
        <v>71</v>
      </c>
      <c r="B5">
        <v>5.31</v>
      </c>
    </row>
    <row r="6" spans="1:2" x14ac:dyDescent="0.25">
      <c r="A6" t="s">
        <v>59</v>
      </c>
      <c r="B6">
        <v>5.19</v>
      </c>
    </row>
    <row r="7" spans="1:2" x14ac:dyDescent="0.25">
      <c r="A7" t="s">
        <v>65</v>
      </c>
      <c r="B7">
        <v>4.8099999999999996</v>
      </c>
    </row>
    <row r="8" spans="1:2" x14ac:dyDescent="0.25">
      <c r="A8" t="s">
        <v>57</v>
      </c>
      <c r="B8">
        <v>3.34</v>
      </c>
    </row>
    <row r="9" spans="1:2" x14ac:dyDescent="0.25">
      <c r="A9" t="s">
        <v>61</v>
      </c>
      <c r="B9">
        <v>3.02</v>
      </c>
    </row>
    <row r="10" spans="1:2" x14ac:dyDescent="0.25">
      <c r="A10" t="s">
        <v>75</v>
      </c>
      <c r="B10">
        <v>3.01</v>
      </c>
    </row>
    <row r="11" spans="1:2" x14ac:dyDescent="0.25">
      <c r="A11" t="s">
        <v>67</v>
      </c>
      <c r="B11">
        <v>2.87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48"/>
  <sheetViews>
    <sheetView topLeftCell="A22" workbookViewId="0">
      <selection activeCell="C2" sqref="C2:D48"/>
    </sheetView>
  </sheetViews>
  <sheetFormatPr defaultRowHeight="15" x14ac:dyDescent="0.25"/>
  <cols>
    <col min="1" max="1" width="23.140625" bestFit="1" customWidth="1"/>
  </cols>
  <sheetData>
    <row r="1" spans="1: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1" t="s">
        <v>8</v>
      </c>
      <c r="B2">
        <v>13343</v>
      </c>
      <c r="C2" s="2">
        <v>18.82215393839466</v>
      </c>
      <c r="D2" s="2">
        <v>12.41389764303042</v>
      </c>
      <c r="E2">
        <v>10</v>
      </c>
      <c r="F2">
        <v>12</v>
      </c>
      <c r="G2">
        <v>15</v>
      </c>
      <c r="H2">
        <v>20</v>
      </c>
      <c r="I2">
        <v>245</v>
      </c>
    </row>
    <row r="3" spans="1:9" x14ac:dyDescent="0.25">
      <c r="A3" s="1" t="s">
        <v>9</v>
      </c>
      <c r="B3">
        <v>13343</v>
      </c>
      <c r="C3" s="2">
        <v>145.90034484863281</v>
      </c>
      <c r="D3" s="2">
        <v>68.978263854980469</v>
      </c>
      <c r="E3">
        <v>2.5099999904632568</v>
      </c>
      <c r="F3">
        <v>101.7399978637695</v>
      </c>
      <c r="G3">
        <v>143.75999450683591</v>
      </c>
      <c r="H3">
        <v>186.2799987792969</v>
      </c>
      <c r="I3">
        <v>489.3800048828125</v>
      </c>
    </row>
    <row r="4" spans="1:9" x14ac:dyDescent="0.25">
      <c r="A4" s="1" t="s">
        <v>10</v>
      </c>
      <c r="B4">
        <v>13343</v>
      </c>
      <c r="C4" s="2">
        <v>61.600238800048828</v>
      </c>
      <c r="D4" s="2">
        <v>34.809497833251953</v>
      </c>
      <c r="E4">
        <v>0</v>
      </c>
      <c r="F4">
        <v>39</v>
      </c>
      <c r="G4">
        <v>56</v>
      </c>
      <c r="H4">
        <v>78</v>
      </c>
      <c r="I4">
        <v>261</v>
      </c>
    </row>
    <row r="5" spans="1:9" x14ac:dyDescent="0.25">
      <c r="A5" s="1" t="s">
        <v>11</v>
      </c>
      <c r="B5">
        <v>13343</v>
      </c>
      <c r="C5" s="2">
        <v>4.4343628883361816</v>
      </c>
      <c r="D5" s="2">
        <v>4.9741039276123047</v>
      </c>
      <c r="E5">
        <v>-0.10000000149011611</v>
      </c>
      <c r="F5">
        <v>1.299999952316284</v>
      </c>
      <c r="G5">
        <v>3</v>
      </c>
      <c r="H5">
        <v>5.8000001907348633</v>
      </c>
      <c r="I5">
        <v>72.300003051757813</v>
      </c>
    </row>
    <row r="6" spans="1:9" x14ac:dyDescent="0.25">
      <c r="A6" s="1" t="s">
        <v>12</v>
      </c>
      <c r="B6">
        <v>13343</v>
      </c>
      <c r="C6" s="2">
        <v>3.2060256004333501</v>
      </c>
      <c r="D6" s="2">
        <v>9.3830623626708984</v>
      </c>
      <c r="E6">
        <v>1</v>
      </c>
      <c r="F6">
        <v>1</v>
      </c>
      <c r="G6">
        <v>2</v>
      </c>
      <c r="H6">
        <v>3</v>
      </c>
      <c r="I6">
        <v>275</v>
      </c>
    </row>
    <row r="7" spans="1:9" x14ac:dyDescent="0.25">
      <c r="A7" s="1" t="s">
        <v>13</v>
      </c>
      <c r="B7">
        <v>13343</v>
      </c>
      <c r="C7" s="2">
        <v>0.75252634286880493</v>
      </c>
      <c r="D7" s="2">
        <v>0.26314806938171392</v>
      </c>
      <c r="E7">
        <v>0</v>
      </c>
      <c r="F7">
        <v>0.63999998569488525</v>
      </c>
      <c r="G7">
        <v>0.82999998331069946</v>
      </c>
      <c r="H7">
        <v>0.93999999761581421</v>
      </c>
      <c r="I7">
        <v>1</v>
      </c>
    </row>
    <row r="8" spans="1:9" x14ac:dyDescent="0.25">
      <c r="A8" s="1" t="s">
        <v>14</v>
      </c>
      <c r="B8">
        <v>13343</v>
      </c>
      <c r="C8" s="2">
        <v>0.24764519929885859</v>
      </c>
      <c r="D8" s="2">
        <v>0.26318550109863281</v>
      </c>
      <c r="E8">
        <v>0</v>
      </c>
      <c r="F8">
        <v>5.9999998658895493E-2</v>
      </c>
      <c r="G8">
        <v>0.17000000178813929</v>
      </c>
      <c r="H8">
        <v>0.36000001430511469</v>
      </c>
      <c r="I8">
        <v>1</v>
      </c>
    </row>
    <row r="9" spans="1:9" x14ac:dyDescent="0.25">
      <c r="A9" s="1" t="s">
        <v>15</v>
      </c>
      <c r="B9">
        <v>13343</v>
      </c>
      <c r="C9" s="2">
        <v>0.50932925939559937</v>
      </c>
      <c r="D9" s="2">
        <v>0.23594443500041959</v>
      </c>
      <c r="E9">
        <v>0</v>
      </c>
      <c r="F9">
        <v>0.34999999403953552</v>
      </c>
      <c r="G9">
        <v>0.52999997138977051</v>
      </c>
      <c r="H9">
        <v>0.67000001668930054</v>
      </c>
      <c r="I9">
        <v>1</v>
      </c>
    </row>
    <row r="10" spans="1:9" x14ac:dyDescent="0.25">
      <c r="A10" s="1" t="s">
        <v>16</v>
      </c>
      <c r="B10">
        <v>13343</v>
      </c>
      <c r="C10" s="2">
        <v>0.37182268500328058</v>
      </c>
      <c r="D10" s="2">
        <v>0.21634197235107419</v>
      </c>
      <c r="E10">
        <v>0</v>
      </c>
      <c r="F10">
        <v>0.2099999934434891</v>
      </c>
      <c r="G10">
        <v>0.33000001311302191</v>
      </c>
      <c r="H10">
        <v>0.5</v>
      </c>
      <c r="I10">
        <v>1</v>
      </c>
    </row>
    <row r="11" spans="1:9" x14ac:dyDescent="0.25">
      <c r="A11" s="1" t="s">
        <v>17</v>
      </c>
      <c r="B11">
        <v>13343</v>
      </c>
      <c r="C11" s="2">
        <v>0.11877913773059839</v>
      </c>
      <c r="D11" s="2">
        <v>0.1356038302183151</v>
      </c>
      <c r="E11">
        <v>0</v>
      </c>
      <c r="F11">
        <v>0</v>
      </c>
      <c r="G11">
        <v>7.9999998211860657E-2</v>
      </c>
      <c r="H11">
        <v>0.1800000071525574</v>
      </c>
      <c r="I11">
        <v>1</v>
      </c>
    </row>
    <row r="12" spans="1:9" x14ac:dyDescent="0.25">
      <c r="A12" s="1" t="s">
        <v>18</v>
      </c>
      <c r="B12">
        <v>13343</v>
      </c>
      <c r="C12" s="2">
        <v>6.9210067391395569E-2</v>
      </c>
      <c r="D12" s="2">
        <v>0.16764044761657709</v>
      </c>
      <c r="E12">
        <v>0</v>
      </c>
      <c r="F12">
        <v>0</v>
      </c>
      <c r="G12">
        <v>0</v>
      </c>
      <c r="H12">
        <v>0</v>
      </c>
      <c r="I12">
        <v>1</v>
      </c>
    </row>
    <row r="13" spans="1:9" x14ac:dyDescent="0.25">
      <c r="A13" s="1" t="s">
        <v>19</v>
      </c>
      <c r="B13">
        <v>13343</v>
      </c>
      <c r="C13" s="2">
        <v>3.7705162540078159E-3</v>
      </c>
      <c r="D13" s="2">
        <v>3.5971019417047501E-2</v>
      </c>
      <c r="E13">
        <v>0</v>
      </c>
      <c r="F13">
        <v>0</v>
      </c>
      <c r="G13">
        <v>0</v>
      </c>
      <c r="H13">
        <v>0</v>
      </c>
      <c r="I13">
        <v>0.70999997854232788</v>
      </c>
    </row>
    <row r="14" spans="1:9" x14ac:dyDescent="0.25">
      <c r="A14" s="1" t="s">
        <v>20</v>
      </c>
      <c r="B14">
        <v>13343</v>
      </c>
      <c r="C14" s="2">
        <v>0.2019351124763489</v>
      </c>
      <c r="D14" s="2">
        <v>0.22584255039691931</v>
      </c>
      <c r="E14">
        <v>0</v>
      </c>
      <c r="F14">
        <v>0</v>
      </c>
      <c r="G14">
        <v>7.9999998211860657E-2</v>
      </c>
      <c r="H14">
        <v>0.43999999761581421</v>
      </c>
      <c r="I14">
        <v>1</v>
      </c>
    </row>
    <row r="15" spans="1:9" x14ac:dyDescent="0.25">
      <c r="A15" s="1" t="s">
        <v>21</v>
      </c>
      <c r="B15">
        <v>13343</v>
      </c>
      <c r="C15" s="2">
        <v>1.09877847135067E-2</v>
      </c>
      <c r="D15" s="2">
        <v>6.4283803105354309E-2</v>
      </c>
      <c r="E15">
        <v>0</v>
      </c>
      <c r="F15">
        <v>0</v>
      </c>
      <c r="G15">
        <v>0</v>
      </c>
      <c r="H15">
        <v>0</v>
      </c>
      <c r="I15">
        <v>0.9100000262260437</v>
      </c>
    </row>
    <row r="16" spans="1:9" x14ac:dyDescent="0.25">
      <c r="A16" s="1" t="s">
        <v>22</v>
      </c>
      <c r="B16">
        <v>13343</v>
      </c>
      <c r="C16" s="2">
        <v>0.2098253667354584</v>
      </c>
      <c r="D16" s="2">
        <v>0.23001083731651309</v>
      </c>
      <c r="E16">
        <v>0</v>
      </c>
      <c r="F16">
        <v>0</v>
      </c>
      <c r="G16">
        <v>7.9999998211860657E-2</v>
      </c>
      <c r="H16">
        <v>0.44999998807907099</v>
      </c>
      <c r="I16">
        <v>1</v>
      </c>
    </row>
    <row r="17" spans="1:9" x14ac:dyDescent="0.25">
      <c r="A17" s="1" t="s">
        <v>23</v>
      </c>
      <c r="B17">
        <v>13343</v>
      </c>
      <c r="C17" s="2">
        <v>4.434534814208746E-3</v>
      </c>
      <c r="D17" s="2">
        <v>4.080209881067276E-2</v>
      </c>
      <c r="E17">
        <v>0</v>
      </c>
      <c r="F17">
        <v>0</v>
      </c>
      <c r="G17">
        <v>0</v>
      </c>
      <c r="H17">
        <v>0</v>
      </c>
      <c r="I17">
        <v>0.93000000715255737</v>
      </c>
    </row>
    <row r="18" spans="1:9" x14ac:dyDescent="0.25">
      <c r="A18" s="1" t="s">
        <v>24</v>
      </c>
      <c r="B18">
        <v>13343</v>
      </c>
      <c r="C18" s="2">
        <v>0</v>
      </c>
      <c r="D18" s="2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5">
      <c r="A19" s="1" t="s">
        <v>25</v>
      </c>
      <c r="B19">
        <v>13343</v>
      </c>
      <c r="C19" s="2">
        <v>0</v>
      </c>
      <c r="D19" s="2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25">
      <c r="A20" s="1" t="s">
        <v>26</v>
      </c>
      <c r="B20">
        <v>13343</v>
      </c>
      <c r="C20" s="2">
        <v>0</v>
      </c>
      <c r="D20" s="2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 x14ac:dyDescent="0.25">
      <c r="A21" s="1" t="s">
        <v>27</v>
      </c>
      <c r="B21">
        <v>13343</v>
      </c>
      <c r="C21" s="2">
        <v>0</v>
      </c>
      <c r="D21" s="2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x14ac:dyDescent="0.25">
      <c r="A22" s="1" t="s">
        <v>28</v>
      </c>
      <c r="B22">
        <v>13343</v>
      </c>
      <c r="C22" s="2">
        <v>6.2591619789600372E-2</v>
      </c>
      <c r="D22" s="2">
        <v>0.15847322344779971</v>
      </c>
      <c r="E22">
        <v>0</v>
      </c>
      <c r="F22">
        <v>0</v>
      </c>
      <c r="G22">
        <v>0</v>
      </c>
      <c r="H22">
        <v>0</v>
      </c>
      <c r="I22">
        <v>1</v>
      </c>
    </row>
    <row r="23" spans="1:9" x14ac:dyDescent="0.25">
      <c r="A23" s="1" t="s">
        <v>29</v>
      </c>
      <c r="B23">
        <v>13343</v>
      </c>
      <c r="C23" s="2">
        <v>3.1259835232049231E-3</v>
      </c>
      <c r="D23" s="2">
        <v>3.2328229397535317E-2</v>
      </c>
      <c r="E23">
        <v>0</v>
      </c>
      <c r="F23">
        <v>0</v>
      </c>
      <c r="G23">
        <v>0</v>
      </c>
      <c r="H23">
        <v>0</v>
      </c>
      <c r="I23">
        <v>0.88999998569488525</v>
      </c>
    </row>
    <row r="24" spans="1:9" x14ac:dyDescent="0.25">
      <c r="A24" s="1" t="s">
        <v>30</v>
      </c>
      <c r="B24">
        <v>13343</v>
      </c>
      <c r="C24" s="2">
        <v>0.21871018409729001</v>
      </c>
      <c r="D24" s="2">
        <v>0.2350492924451828</v>
      </c>
      <c r="E24">
        <v>0</v>
      </c>
      <c r="F24">
        <v>0</v>
      </c>
      <c r="G24">
        <v>9.0000003576278687E-2</v>
      </c>
      <c r="H24">
        <v>0.44999998807907099</v>
      </c>
      <c r="I24">
        <v>1</v>
      </c>
    </row>
    <row r="25" spans="1:9" x14ac:dyDescent="0.25">
      <c r="A25" s="1" t="s">
        <v>31</v>
      </c>
      <c r="B25">
        <v>13343</v>
      </c>
      <c r="C25" s="2">
        <v>7.8850332647562027E-3</v>
      </c>
      <c r="D25" s="2">
        <v>5.9316493570804603E-2</v>
      </c>
      <c r="E25">
        <v>0</v>
      </c>
      <c r="F25">
        <v>0</v>
      </c>
      <c r="G25">
        <v>0</v>
      </c>
      <c r="H25">
        <v>0</v>
      </c>
      <c r="I25">
        <v>1</v>
      </c>
    </row>
    <row r="26" spans="1:9" x14ac:dyDescent="0.25">
      <c r="A26" s="1" t="s">
        <v>32</v>
      </c>
      <c r="B26">
        <v>13343</v>
      </c>
      <c r="C26" s="2">
        <v>0.198573037981987</v>
      </c>
      <c r="D26" s="2">
        <v>0.2162488400936127</v>
      </c>
      <c r="E26">
        <v>0</v>
      </c>
      <c r="F26">
        <v>0</v>
      </c>
      <c r="G26">
        <v>7.9999998211860657E-2</v>
      </c>
      <c r="H26">
        <v>0.43000000715255737</v>
      </c>
      <c r="I26">
        <v>1</v>
      </c>
    </row>
    <row r="27" spans="1:9" x14ac:dyDescent="0.25">
      <c r="A27" s="1" t="s">
        <v>33</v>
      </c>
      <c r="B27">
        <v>13343</v>
      </c>
      <c r="C27" s="2">
        <v>8.5835270583629608E-3</v>
      </c>
      <c r="D27" s="2">
        <v>4.9136925488710403E-2</v>
      </c>
      <c r="E27">
        <v>0</v>
      </c>
      <c r="F27">
        <v>0</v>
      </c>
      <c r="G27">
        <v>0</v>
      </c>
      <c r="H27">
        <v>0</v>
      </c>
      <c r="I27">
        <v>0.82999998331069946</v>
      </c>
    </row>
    <row r="28" spans="1:9" x14ac:dyDescent="0.25">
      <c r="A28" s="1" t="s">
        <v>34</v>
      </c>
      <c r="B28">
        <v>13343</v>
      </c>
      <c r="C28" s="2">
        <v>0</v>
      </c>
      <c r="D28" s="2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 x14ac:dyDescent="0.25">
      <c r="A29" s="1" t="s">
        <v>35</v>
      </c>
      <c r="B29">
        <v>13343</v>
      </c>
      <c r="C29" s="2">
        <v>0</v>
      </c>
      <c r="D29" s="2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 x14ac:dyDescent="0.25">
      <c r="A30" s="1" t="s">
        <v>36</v>
      </c>
      <c r="B30">
        <v>13343</v>
      </c>
      <c r="C30" s="2">
        <v>0</v>
      </c>
      <c r="D30" s="2">
        <v>0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 x14ac:dyDescent="0.25">
      <c r="A31" s="1" t="s">
        <v>37</v>
      </c>
      <c r="B31">
        <v>13343</v>
      </c>
      <c r="C31" s="2">
        <v>0</v>
      </c>
      <c r="D31" s="2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25">
      <c r="A32" s="1" t="s">
        <v>38</v>
      </c>
      <c r="B32">
        <v>13343</v>
      </c>
      <c r="C32" s="2">
        <v>3.0019485872742262</v>
      </c>
      <c r="D32" s="2">
        <v>1.263154419241117</v>
      </c>
      <c r="E32">
        <v>1</v>
      </c>
      <c r="F32">
        <v>2</v>
      </c>
      <c r="G32">
        <v>2</v>
      </c>
      <c r="H32">
        <v>4</v>
      </c>
      <c r="I32">
        <v>11</v>
      </c>
    </row>
    <row r="33" spans="1:9" x14ac:dyDescent="0.25">
      <c r="A33" s="1" t="s">
        <v>39</v>
      </c>
      <c r="B33">
        <v>13343</v>
      </c>
      <c r="C33" s="2">
        <v>1.556846220046282E-2</v>
      </c>
      <c r="D33" s="2">
        <v>3.7820298224687583E-2</v>
      </c>
      <c r="E33">
        <v>0</v>
      </c>
      <c r="F33">
        <v>0</v>
      </c>
      <c r="G33">
        <v>0</v>
      </c>
      <c r="H33">
        <v>0</v>
      </c>
      <c r="I33">
        <v>0.4699999988079071</v>
      </c>
    </row>
    <row r="34" spans="1:9" x14ac:dyDescent="0.25">
      <c r="A34" s="1" t="s">
        <v>40</v>
      </c>
      <c r="B34">
        <v>13343</v>
      </c>
      <c r="C34" s="2">
        <v>5.1786702126264572E-2</v>
      </c>
      <c r="D34" s="2">
        <v>9.2421010136604309E-2</v>
      </c>
      <c r="E34">
        <v>0</v>
      </c>
      <c r="F34">
        <v>0</v>
      </c>
      <c r="G34">
        <v>0</v>
      </c>
      <c r="H34">
        <v>7.9999998211860657E-2</v>
      </c>
      <c r="I34">
        <v>0.92000001668930054</v>
      </c>
    </row>
    <row r="35" spans="1:9" x14ac:dyDescent="0.25">
      <c r="A35" s="1" t="s">
        <v>41</v>
      </c>
      <c r="B35">
        <v>13343</v>
      </c>
      <c r="C35" s="2">
        <v>0.14829124510288241</v>
      </c>
      <c r="D35" s="2">
        <v>0.14218524098396301</v>
      </c>
      <c r="E35">
        <v>0</v>
      </c>
      <c r="F35">
        <v>2.999999932944775E-2</v>
      </c>
      <c r="G35">
        <v>0.10999999940395359</v>
      </c>
      <c r="H35">
        <v>0.23000000417232511</v>
      </c>
      <c r="I35">
        <v>1</v>
      </c>
    </row>
    <row r="36" spans="1:9" x14ac:dyDescent="0.25">
      <c r="A36" s="1" t="s">
        <v>42</v>
      </c>
      <c r="B36">
        <v>13343</v>
      </c>
      <c r="C36" s="2">
        <v>0.23087611794471741</v>
      </c>
      <c r="D36" s="2">
        <v>0.18201825022697449</v>
      </c>
      <c r="E36">
        <v>0</v>
      </c>
      <c r="F36">
        <v>9.0000003576278687E-2</v>
      </c>
      <c r="G36">
        <v>0.18999999761581421</v>
      </c>
      <c r="H36">
        <v>0.33000001311302191</v>
      </c>
      <c r="I36">
        <v>1</v>
      </c>
    </row>
    <row r="37" spans="1:9" x14ac:dyDescent="0.25">
      <c r="A37" s="1" t="s">
        <v>43</v>
      </c>
      <c r="B37">
        <v>13343</v>
      </c>
      <c r="C37" s="2">
        <v>0.31777411699295038</v>
      </c>
      <c r="D37" s="2">
        <v>0.20226788520812991</v>
      </c>
      <c r="E37">
        <v>0</v>
      </c>
      <c r="F37">
        <v>0.17000000178813929</v>
      </c>
      <c r="G37">
        <v>0.28999999165534968</v>
      </c>
      <c r="H37">
        <v>0.43999999761581421</v>
      </c>
      <c r="I37">
        <v>1</v>
      </c>
    </row>
    <row r="38" spans="1:9" x14ac:dyDescent="0.25">
      <c r="A38" s="1" t="s">
        <v>44</v>
      </c>
      <c r="B38">
        <v>13343</v>
      </c>
      <c r="C38" s="2">
        <v>0.235049843788147</v>
      </c>
      <c r="D38" s="2">
        <v>0.18353982269763949</v>
      </c>
      <c r="E38">
        <v>0</v>
      </c>
      <c r="F38">
        <v>7.9999998211860657E-2</v>
      </c>
      <c r="G38">
        <v>0.2099999934434891</v>
      </c>
      <c r="H38">
        <v>0.36000001430511469</v>
      </c>
      <c r="I38">
        <v>1</v>
      </c>
    </row>
    <row r="39" spans="1:9" x14ac:dyDescent="0.25">
      <c r="A39" s="1" t="s">
        <v>45</v>
      </c>
      <c r="B39">
        <v>13343</v>
      </c>
      <c r="C39" s="2">
        <v>0.83437079191207886</v>
      </c>
      <c r="D39" s="2">
        <v>0.30071672797203058</v>
      </c>
      <c r="E39">
        <v>0</v>
      </c>
      <c r="F39">
        <v>0.82999998331069946</v>
      </c>
      <c r="G39">
        <v>1</v>
      </c>
      <c r="H39">
        <v>1</v>
      </c>
      <c r="I39">
        <v>1</v>
      </c>
    </row>
    <row r="40" spans="1:9" x14ac:dyDescent="0.25">
      <c r="A40" s="1" t="s">
        <v>46</v>
      </c>
      <c r="B40">
        <v>13343</v>
      </c>
      <c r="C40" s="2">
        <v>0.15403507649898529</v>
      </c>
      <c r="D40" s="2">
        <v>0.29574695229530329</v>
      </c>
      <c r="E40">
        <v>0</v>
      </c>
      <c r="F40">
        <v>0</v>
      </c>
      <c r="G40">
        <v>0</v>
      </c>
      <c r="H40">
        <v>0.12999999523162839</v>
      </c>
      <c r="I40">
        <v>1</v>
      </c>
    </row>
    <row r="41" spans="1:9" x14ac:dyDescent="0.25">
      <c r="A41" s="1" t="s">
        <v>47</v>
      </c>
      <c r="B41">
        <v>13343</v>
      </c>
      <c r="C41" s="2">
        <v>1.0784681653603909E-3</v>
      </c>
      <c r="D41" s="2">
        <v>1.534000039100647E-2</v>
      </c>
      <c r="E41">
        <v>0</v>
      </c>
      <c r="F41">
        <v>0</v>
      </c>
      <c r="G41">
        <v>0</v>
      </c>
      <c r="H41">
        <v>0</v>
      </c>
      <c r="I41">
        <v>1</v>
      </c>
    </row>
    <row r="42" spans="1:9" x14ac:dyDescent="0.25">
      <c r="A42" s="1" t="s">
        <v>48</v>
      </c>
      <c r="B42">
        <v>13343</v>
      </c>
      <c r="C42" s="2">
        <v>9.050438180565834E-3</v>
      </c>
      <c r="D42" s="2">
        <v>5.3990140557289117E-2</v>
      </c>
      <c r="E42">
        <v>0</v>
      </c>
      <c r="F42">
        <v>0</v>
      </c>
      <c r="G42">
        <v>0</v>
      </c>
      <c r="H42">
        <v>0</v>
      </c>
      <c r="I42">
        <v>1</v>
      </c>
    </row>
    <row r="43" spans="1:9" x14ac:dyDescent="0.25">
      <c r="A43" s="1" t="s">
        <v>49</v>
      </c>
      <c r="B43">
        <v>13343</v>
      </c>
      <c r="C43" s="2">
        <v>0.14220790565013891</v>
      </c>
      <c r="D43" s="2">
        <v>0.1236489191651344</v>
      </c>
      <c r="E43">
        <v>0</v>
      </c>
      <c r="F43">
        <v>5.000000074505806E-2</v>
      </c>
      <c r="G43">
        <v>0.12999999523162839</v>
      </c>
      <c r="H43">
        <v>0.2099999934434891</v>
      </c>
      <c r="I43">
        <v>1</v>
      </c>
    </row>
    <row r="44" spans="1:9" x14ac:dyDescent="0.25">
      <c r="A44" s="1" t="s">
        <v>50</v>
      </c>
      <c r="B44">
        <v>13343</v>
      </c>
      <c r="C44" s="2">
        <v>0.14443229138851171</v>
      </c>
      <c r="D44" s="2">
        <v>0.1422561705112457</v>
      </c>
      <c r="E44">
        <v>0</v>
      </c>
      <c r="F44">
        <v>0</v>
      </c>
      <c r="G44">
        <v>0.12999999523162839</v>
      </c>
      <c r="H44">
        <v>0.2099999934434891</v>
      </c>
      <c r="I44">
        <v>1</v>
      </c>
    </row>
    <row r="45" spans="1:9" x14ac:dyDescent="0.25">
      <c r="A45" s="1" t="s">
        <v>51</v>
      </c>
      <c r="B45">
        <v>13343</v>
      </c>
      <c r="C45" s="2">
        <v>0.71353673934936523</v>
      </c>
      <c r="D45" s="2">
        <v>0.1919639855623245</v>
      </c>
      <c r="E45">
        <v>0</v>
      </c>
      <c r="F45">
        <v>0.61000001430511475</v>
      </c>
      <c r="G45">
        <v>0.73000001907348633</v>
      </c>
      <c r="H45">
        <v>0.85000002384185791</v>
      </c>
      <c r="I45">
        <v>1</v>
      </c>
    </row>
    <row r="46" spans="1:9" x14ac:dyDescent="0.25">
      <c r="A46" s="1" t="s">
        <v>52</v>
      </c>
      <c r="B46">
        <v>13343</v>
      </c>
      <c r="C46" s="2">
        <v>5</v>
      </c>
      <c r="D46" s="2">
        <v>0</v>
      </c>
      <c r="E46">
        <v>5</v>
      </c>
      <c r="F46">
        <v>5</v>
      </c>
      <c r="G46">
        <v>5</v>
      </c>
      <c r="H46">
        <v>5</v>
      </c>
      <c r="I46">
        <v>5</v>
      </c>
    </row>
    <row r="47" spans="1:9" x14ac:dyDescent="0.25">
      <c r="A47" s="1" t="s">
        <v>53</v>
      </c>
      <c r="B47">
        <v>13343</v>
      </c>
      <c r="C47" s="2">
        <v>0.43266132054260659</v>
      </c>
      <c r="D47" s="2">
        <v>0.49546331872595062</v>
      </c>
      <c r="E47">
        <v>0</v>
      </c>
      <c r="F47">
        <v>0</v>
      </c>
      <c r="G47">
        <v>0</v>
      </c>
      <c r="H47">
        <v>1</v>
      </c>
      <c r="I47">
        <v>1</v>
      </c>
    </row>
    <row r="48" spans="1:9" x14ac:dyDescent="0.25">
      <c r="A48" s="1" t="s">
        <v>54</v>
      </c>
      <c r="B48">
        <v>13343</v>
      </c>
      <c r="C48" s="2">
        <v>0.84126508281495915</v>
      </c>
      <c r="D48" s="2">
        <v>0.36544240600440331</v>
      </c>
      <c r="E48">
        <v>0</v>
      </c>
      <c r="F48">
        <v>1</v>
      </c>
      <c r="G48">
        <v>1</v>
      </c>
      <c r="H48">
        <v>1</v>
      </c>
      <c r="I48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1"/>
  <sheetViews>
    <sheetView workbookViewId="0"/>
  </sheetViews>
  <sheetFormatPr defaultRowHeight="15" x14ac:dyDescent="0.25"/>
  <sheetData>
    <row r="1" spans="1:2" x14ac:dyDescent="0.25">
      <c r="A1" s="1" t="s">
        <v>55</v>
      </c>
      <c r="B1" s="1" t="s">
        <v>56</v>
      </c>
    </row>
    <row r="2" spans="1:2" x14ac:dyDescent="0.25">
      <c r="A2" t="s">
        <v>57</v>
      </c>
      <c r="B2">
        <v>69.069999999999993</v>
      </c>
    </row>
    <row r="3" spans="1:2" x14ac:dyDescent="0.25">
      <c r="A3" t="s">
        <v>63</v>
      </c>
      <c r="B3">
        <v>6.24</v>
      </c>
    </row>
    <row r="4" spans="1:2" x14ac:dyDescent="0.25">
      <c r="A4" t="s">
        <v>58</v>
      </c>
      <c r="B4">
        <v>3.9</v>
      </c>
    </row>
    <row r="5" spans="1:2" x14ac:dyDescent="0.25">
      <c r="A5" t="s">
        <v>60</v>
      </c>
      <c r="B5">
        <v>3.65</v>
      </c>
    </row>
    <row r="6" spans="1:2" x14ac:dyDescent="0.25">
      <c r="A6" t="s">
        <v>59</v>
      </c>
      <c r="B6">
        <v>1.64</v>
      </c>
    </row>
    <row r="7" spans="1:2" x14ac:dyDescent="0.25">
      <c r="A7" t="s">
        <v>62</v>
      </c>
      <c r="B7">
        <v>1.1200000000000001</v>
      </c>
    </row>
    <row r="8" spans="1:2" x14ac:dyDescent="0.25">
      <c r="A8" t="s">
        <v>61</v>
      </c>
      <c r="B8">
        <v>1.06</v>
      </c>
    </row>
    <row r="9" spans="1:2" x14ac:dyDescent="0.25">
      <c r="A9" t="s">
        <v>76</v>
      </c>
      <c r="B9">
        <v>0.88</v>
      </c>
    </row>
    <row r="10" spans="1:2" x14ac:dyDescent="0.25">
      <c r="A10" t="s">
        <v>77</v>
      </c>
      <c r="B10">
        <v>0.71</v>
      </c>
    </row>
    <row r="11" spans="1:2" x14ac:dyDescent="0.25">
      <c r="A11" t="s">
        <v>78</v>
      </c>
      <c r="B11">
        <v>0.69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48"/>
  <sheetViews>
    <sheetView topLeftCell="A16" workbookViewId="0">
      <selection activeCell="B10" sqref="B10"/>
    </sheetView>
  </sheetViews>
  <sheetFormatPr defaultRowHeight="15" x14ac:dyDescent="0.25"/>
  <cols>
    <col min="1" max="1" width="23.140625" bestFit="1" customWidth="1"/>
    <col min="3" max="3" width="9.5703125" bestFit="1" customWidth="1"/>
    <col min="4" max="4" width="9.28515625" bestFit="1" customWidth="1"/>
  </cols>
  <sheetData>
    <row r="1" spans="1: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1" t="s">
        <v>8</v>
      </c>
      <c r="B2">
        <v>552936</v>
      </c>
      <c r="C2" s="2">
        <v>1.086691769029327</v>
      </c>
      <c r="D2" s="2">
        <v>0.31043833627814033</v>
      </c>
      <c r="E2">
        <v>1</v>
      </c>
      <c r="F2">
        <v>1</v>
      </c>
      <c r="G2">
        <v>1</v>
      </c>
      <c r="H2">
        <v>1</v>
      </c>
      <c r="I2">
        <v>5</v>
      </c>
    </row>
    <row r="3" spans="1:9" x14ac:dyDescent="0.25">
      <c r="A3" s="1" t="s">
        <v>9</v>
      </c>
      <c r="B3">
        <v>552936</v>
      </c>
      <c r="C3" s="2">
        <v>180.79164123535159</v>
      </c>
      <c r="D3" s="2">
        <v>65.697959899902344</v>
      </c>
      <c r="E3">
        <v>0</v>
      </c>
      <c r="F3">
        <v>129.3800048828125</v>
      </c>
      <c r="G3">
        <v>172.5</v>
      </c>
      <c r="H3">
        <v>224.25</v>
      </c>
      <c r="I3">
        <v>328.32998657226563</v>
      </c>
    </row>
    <row r="4" spans="1:9" x14ac:dyDescent="0.25">
      <c r="A4" s="1" t="s">
        <v>10</v>
      </c>
      <c r="B4">
        <v>44107</v>
      </c>
      <c r="C4" s="2">
        <v>34.791915893554688</v>
      </c>
      <c r="D4" s="2">
        <v>38.122184753417969</v>
      </c>
      <c r="E4">
        <v>0</v>
      </c>
      <c r="F4">
        <v>0</v>
      </c>
      <c r="G4">
        <v>27</v>
      </c>
      <c r="H4">
        <v>57</v>
      </c>
      <c r="I4">
        <v>269</v>
      </c>
    </row>
    <row r="5" spans="1:9" x14ac:dyDescent="0.25">
      <c r="A5" s="1" t="s">
        <v>11</v>
      </c>
      <c r="B5">
        <v>546726</v>
      </c>
      <c r="C5" s="2">
        <v>12.310564041137701</v>
      </c>
      <c r="D5" s="2">
        <v>8.583897590637207</v>
      </c>
      <c r="E5">
        <v>-8</v>
      </c>
      <c r="F5">
        <v>5</v>
      </c>
      <c r="G5">
        <v>11</v>
      </c>
      <c r="H5">
        <v>19</v>
      </c>
      <c r="I5">
        <v>34</v>
      </c>
    </row>
    <row r="6" spans="1:9" x14ac:dyDescent="0.25">
      <c r="A6" s="1" t="s">
        <v>12</v>
      </c>
      <c r="B6">
        <v>552936</v>
      </c>
      <c r="C6" s="2">
        <v>17.826618194580082</v>
      </c>
      <c r="D6" s="2">
        <v>27.55068206787109</v>
      </c>
      <c r="E6">
        <v>1</v>
      </c>
      <c r="F6">
        <v>4</v>
      </c>
      <c r="G6">
        <v>8</v>
      </c>
      <c r="H6">
        <v>10</v>
      </c>
      <c r="I6">
        <v>179</v>
      </c>
    </row>
    <row r="7" spans="1:9" x14ac:dyDescent="0.25">
      <c r="A7" s="1" t="s">
        <v>13</v>
      </c>
      <c r="B7">
        <v>552936</v>
      </c>
      <c r="C7" s="2">
        <v>0.92032849788665771</v>
      </c>
      <c r="D7" s="2">
        <v>0.26674830913543701</v>
      </c>
      <c r="E7">
        <v>0</v>
      </c>
      <c r="F7">
        <v>1</v>
      </c>
      <c r="G7">
        <v>1</v>
      </c>
      <c r="H7">
        <v>1</v>
      </c>
      <c r="I7">
        <v>1</v>
      </c>
    </row>
    <row r="8" spans="1:9" x14ac:dyDescent="0.25">
      <c r="A8" s="1" t="s">
        <v>14</v>
      </c>
      <c r="B8">
        <v>552936</v>
      </c>
      <c r="C8" s="2">
        <v>7.9671315848827362E-2</v>
      </c>
      <c r="D8" s="2">
        <v>0.26674830913543701</v>
      </c>
      <c r="E8">
        <v>0</v>
      </c>
      <c r="F8">
        <v>0</v>
      </c>
      <c r="G8">
        <v>0</v>
      </c>
      <c r="H8">
        <v>0</v>
      </c>
      <c r="I8">
        <v>1</v>
      </c>
    </row>
    <row r="9" spans="1:9" x14ac:dyDescent="0.25">
      <c r="A9" s="1" t="s">
        <v>15</v>
      </c>
      <c r="B9">
        <v>552936</v>
      </c>
      <c r="C9" s="2">
        <v>0.78344196081161499</v>
      </c>
      <c r="D9" s="2">
        <v>0.40245106816291809</v>
      </c>
      <c r="E9">
        <v>0</v>
      </c>
      <c r="F9">
        <v>1</v>
      </c>
      <c r="G9">
        <v>1</v>
      </c>
      <c r="H9">
        <v>1</v>
      </c>
      <c r="I9">
        <v>1</v>
      </c>
    </row>
    <row r="10" spans="1:9" x14ac:dyDescent="0.25">
      <c r="A10" s="1" t="s">
        <v>16</v>
      </c>
      <c r="B10">
        <v>552936</v>
      </c>
      <c r="C10" s="2">
        <v>0.1639050096273422</v>
      </c>
      <c r="D10" s="2">
        <v>0.36194470524787897</v>
      </c>
      <c r="E10">
        <v>0</v>
      </c>
      <c r="F10">
        <v>0</v>
      </c>
      <c r="G10">
        <v>0</v>
      </c>
      <c r="H10">
        <v>0</v>
      </c>
      <c r="I10">
        <v>1</v>
      </c>
    </row>
    <row r="11" spans="1:9" x14ac:dyDescent="0.25">
      <c r="A11" s="1" t="s">
        <v>17</v>
      </c>
      <c r="B11">
        <v>552936</v>
      </c>
      <c r="C11" s="2">
        <v>5.2649304270744317E-2</v>
      </c>
      <c r="D11" s="2">
        <v>0.2172077149152756</v>
      </c>
      <c r="E11">
        <v>0</v>
      </c>
      <c r="F11">
        <v>0</v>
      </c>
      <c r="G11">
        <v>0</v>
      </c>
      <c r="H11">
        <v>0</v>
      </c>
      <c r="I11">
        <v>1</v>
      </c>
    </row>
    <row r="12" spans="1:9" x14ac:dyDescent="0.25">
      <c r="A12" s="1" t="s">
        <v>18</v>
      </c>
      <c r="B12">
        <v>552936</v>
      </c>
      <c r="C12" s="2">
        <v>5.2273506298661232E-3</v>
      </c>
      <c r="D12" s="2">
        <v>7.0427477359771729E-2</v>
      </c>
      <c r="E12">
        <v>0</v>
      </c>
      <c r="F12">
        <v>0</v>
      </c>
      <c r="G12">
        <v>0</v>
      </c>
      <c r="H12">
        <v>0</v>
      </c>
      <c r="I12">
        <v>1</v>
      </c>
    </row>
    <row r="13" spans="1:9" x14ac:dyDescent="0.25">
      <c r="A13" s="1" t="s">
        <v>19</v>
      </c>
      <c r="B13">
        <v>552936</v>
      </c>
      <c r="C13" s="2">
        <v>7.8128388850018382E-4</v>
      </c>
      <c r="D13" s="2">
        <v>2.7810802683234211E-2</v>
      </c>
      <c r="E13">
        <v>0</v>
      </c>
      <c r="F13">
        <v>0</v>
      </c>
      <c r="G13">
        <v>0</v>
      </c>
      <c r="H13">
        <v>0</v>
      </c>
      <c r="I13">
        <v>1</v>
      </c>
    </row>
    <row r="14" spans="1:9" x14ac:dyDescent="0.25">
      <c r="A14" s="1" t="s">
        <v>20</v>
      </c>
      <c r="B14">
        <v>552936</v>
      </c>
      <c r="C14" s="2">
        <v>0.1774783581495285</v>
      </c>
      <c r="D14" s="2">
        <v>0.36722996830940252</v>
      </c>
      <c r="E14">
        <v>0</v>
      </c>
      <c r="F14">
        <v>0</v>
      </c>
      <c r="G14">
        <v>0</v>
      </c>
      <c r="H14">
        <v>0</v>
      </c>
      <c r="I14">
        <v>1</v>
      </c>
    </row>
    <row r="15" spans="1:9" x14ac:dyDescent="0.25">
      <c r="A15" s="1" t="s">
        <v>21</v>
      </c>
      <c r="B15">
        <v>552936</v>
      </c>
      <c r="C15" s="2">
        <v>1.989380398299545E-4</v>
      </c>
      <c r="D15" s="2">
        <v>1.410314533859491E-2</v>
      </c>
      <c r="E15">
        <v>0</v>
      </c>
      <c r="F15">
        <v>0</v>
      </c>
      <c r="G15">
        <v>0</v>
      </c>
      <c r="H15">
        <v>0</v>
      </c>
      <c r="I15">
        <v>1</v>
      </c>
    </row>
    <row r="16" spans="1:9" x14ac:dyDescent="0.25">
      <c r="A16" s="1" t="s">
        <v>22</v>
      </c>
      <c r="B16">
        <v>552936</v>
      </c>
      <c r="C16" s="2">
        <v>1.6548518091440201E-2</v>
      </c>
      <c r="D16" s="2">
        <v>0.1228602305054665</v>
      </c>
      <c r="E16">
        <v>0</v>
      </c>
      <c r="F16">
        <v>0</v>
      </c>
      <c r="G16">
        <v>0</v>
      </c>
      <c r="H16">
        <v>0</v>
      </c>
      <c r="I16">
        <v>1</v>
      </c>
    </row>
    <row r="17" spans="1:9" x14ac:dyDescent="0.25">
      <c r="A17" s="1" t="s">
        <v>23</v>
      </c>
      <c r="B17">
        <v>552936</v>
      </c>
      <c r="C17" s="2">
        <v>1.0616056388244031E-3</v>
      </c>
      <c r="D17" s="2">
        <v>3.2551128417253487E-2</v>
      </c>
      <c r="E17">
        <v>0</v>
      </c>
      <c r="F17">
        <v>0</v>
      </c>
      <c r="G17">
        <v>0</v>
      </c>
      <c r="H17">
        <v>0</v>
      </c>
      <c r="I17">
        <v>1</v>
      </c>
    </row>
    <row r="18" spans="1:9" x14ac:dyDescent="0.25">
      <c r="A18" s="1" t="s">
        <v>24</v>
      </c>
      <c r="B18">
        <v>552936</v>
      </c>
      <c r="C18" s="2">
        <v>0</v>
      </c>
      <c r="D18" s="2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5">
      <c r="A19" s="1" t="s">
        <v>25</v>
      </c>
      <c r="B19">
        <v>552936</v>
      </c>
      <c r="C19" s="2">
        <v>0</v>
      </c>
      <c r="D19" s="2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25">
      <c r="A20" s="1" t="s">
        <v>26</v>
      </c>
      <c r="B20">
        <v>552936</v>
      </c>
      <c r="C20" s="2">
        <v>0</v>
      </c>
      <c r="D20" s="2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 x14ac:dyDescent="0.25">
      <c r="A21" s="1" t="s">
        <v>27</v>
      </c>
      <c r="B21">
        <v>552936</v>
      </c>
      <c r="C21" s="2">
        <v>0</v>
      </c>
      <c r="D21" s="2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x14ac:dyDescent="0.25">
      <c r="A22" s="1" t="s">
        <v>28</v>
      </c>
      <c r="B22">
        <v>552936</v>
      </c>
      <c r="C22" s="2">
        <v>5.0171446055173874E-3</v>
      </c>
      <c r="D22" s="2">
        <v>6.9627292454242706E-2</v>
      </c>
      <c r="E22">
        <v>0</v>
      </c>
      <c r="F22">
        <v>0</v>
      </c>
      <c r="G22">
        <v>0</v>
      </c>
      <c r="H22">
        <v>0</v>
      </c>
      <c r="I22">
        <v>1</v>
      </c>
    </row>
    <row r="23" spans="1:9" x14ac:dyDescent="0.25">
      <c r="A23" s="1" t="s">
        <v>29</v>
      </c>
      <c r="B23">
        <v>552936</v>
      </c>
      <c r="C23" s="2">
        <v>8.500079857185483E-4</v>
      </c>
      <c r="D23" s="2">
        <v>2.9064850881695751E-2</v>
      </c>
      <c r="E23">
        <v>0</v>
      </c>
      <c r="F23">
        <v>0</v>
      </c>
      <c r="G23">
        <v>0</v>
      </c>
      <c r="H23">
        <v>0</v>
      </c>
      <c r="I23">
        <v>1</v>
      </c>
    </row>
    <row r="24" spans="1:9" x14ac:dyDescent="0.25">
      <c r="A24" s="1" t="s">
        <v>30</v>
      </c>
      <c r="B24">
        <v>552936</v>
      </c>
      <c r="C24" s="2">
        <v>0.77719360589981079</v>
      </c>
      <c r="D24" s="2">
        <v>0.40219345688819891</v>
      </c>
      <c r="E24">
        <v>0</v>
      </c>
      <c r="F24">
        <v>1</v>
      </c>
      <c r="G24">
        <v>1</v>
      </c>
      <c r="H24">
        <v>1</v>
      </c>
      <c r="I24">
        <v>1</v>
      </c>
    </row>
    <row r="25" spans="1:9" x14ac:dyDescent="0.25">
      <c r="A25" s="1" t="s">
        <v>31</v>
      </c>
      <c r="B25">
        <v>552936</v>
      </c>
      <c r="C25" s="2">
        <v>1.89895392395556E-4</v>
      </c>
      <c r="D25" s="2">
        <v>1.377896033227444E-2</v>
      </c>
      <c r="E25">
        <v>0</v>
      </c>
      <c r="F25">
        <v>0</v>
      </c>
      <c r="G25">
        <v>0</v>
      </c>
      <c r="H25">
        <v>0</v>
      </c>
      <c r="I25">
        <v>1</v>
      </c>
    </row>
    <row r="26" spans="1:9" x14ac:dyDescent="0.25">
      <c r="A26" s="1" t="s">
        <v>32</v>
      </c>
      <c r="B26">
        <v>552936</v>
      </c>
      <c r="C26" s="2">
        <v>1.4381031505763531E-2</v>
      </c>
      <c r="D26" s="2">
        <v>0.11371394991874691</v>
      </c>
      <c r="E26">
        <v>0</v>
      </c>
      <c r="F26">
        <v>0</v>
      </c>
      <c r="G26">
        <v>0</v>
      </c>
      <c r="H26">
        <v>0</v>
      </c>
      <c r="I26">
        <v>1</v>
      </c>
    </row>
    <row r="27" spans="1:9" x14ac:dyDescent="0.25">
      <c r="A27" s="1" t="s">
        <v>33</v>
      </c>
      <c r="B27">
        <v>552936</v>
      </c>
      <c r="C27" s="2">
        <v>1.0724568273872139E-3</v>
      </c>
      <c r="D27" s="2">
        <v>3.2689385116100311E-2</v>
      </c>
      <c r="E27">
        <v>0</v>
      </c>
      <c r="F27">
        <v>0</v>
      </c>
      <c r="G27">
        <v>0</v>
      </c>
      <c r="H27">
        <v>0</v>
      </c>
      <c r="I27">
        <v>1</v>
      </c>
    </row>
    <row r="28" spans="1:9" x14ac:dyDescent="0.25">
      <c r="A28" s="1" t="s">
        <v>34</v>
      </c>
      <c r="B28">
        <v>552936</v>
      </c>
      <c r="C28" s="2">
        <v>0</v>
      </c>
      <c r="D28" s="2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 x14ac:dyDescent="0.25">
      <c r="A29" s="1" t="s">
        <v>35</v>
      </c>
      <c r="B29">
        <v>552936</v>
      </c>
      <c r="C29" s="2">
        <v>0</v>
      </c>
      <c r="D29" s="2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 x14ac:dyDescent="0.25">
      <c r="A30" s="1" t="s">
        <v>36</v>
      </c>
      <c r="B30">
        <v>552936</v>
      </c>
      <c r="C30" s="2">
        <v>0</v>
      </c>
      <c r="D30" s="2">
        <v>0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 x14ac:dyDescent="0.25">
      <c r="A31" s="1" t="s">
        <v>37</v>
      </c>
      <c r="B31">
        <v>552936</v>
      </c>
      <c r="C31" s="2">
        <v>0</v>
      </c>
      <c r="D31" s="2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25">
      <c r="A32" s="1" t="s">
        <v>38</v>
      </c>
      <c r="B32">
        <v>552936</v>
      </c>
      <c r="C32" s="2">
        <v>1.0509100510728191</v>
      </c>
      <c r="D32" s="2">
        <v>0.21981425148877079</v>
      </c>
      <c r="E32">
        <v>1</v>
      </c>
      <c r="F32">
        <v>1</v>
      </c>
      <c r="G32">
        <v>1</v>
      </c>
      <c r="H32">
        <v>1</v>
      </c>
      <c r="I32">
        <v>2</v>
      </c>
    </row>
    <row r="33" spans="1:9" x14ac:dyDescent="0.25">
      <c r="A33" s="1" t="s">
        <v>39</v>
      </c>
      <c r="B33">
        <v>552936</v>
      </c>
      <c r="C33" s="2">
        <v>4.9556726589798927E-3</v>
      </c>
      <c r="D33" s="2">
        <v>6.6382631659507751E-2</v>
      </c>
      <c r="E33">
        <v>0</v>
      </c>
      <c r="F33">
        <v>0</v>
      </c>
      <c r="G33">
        <v>0</v>
      </c>
      <c r="H33">
        <v>0</v>
      </c>
      <c r="I33">
        <v>1</v>
      </c>
    </row>
    <row r="34" spans="1:9" x14ac:dyDescent="0.25">
      <c r="A34" s="1" t="s">
        <v>40</v>
      </c>
      <c r="B34">
        <v>552936</v>
      </c>
      <c r="C34" s="2">
        <v>1.3699181377887729E-2</v>
      </c>
      <c r="D34" s="2">
        <v>0.1118086874485016</v>
      </c>
      <c r="E34">
        <v>0</v>
      </c>
      <c r="F34">
        <v>0</v>
      </c>
      <c r="G34">
        <v>0</v>
      </c>
      <c r="H34">
        <v>0</v>
      </c>
      <c r="I34">
        <v>1</v>
      </c>
    </row>
    <row r="35" spans="1:9" x14ac:dyDescent="0.25">
      <c r="A35" s="1" t="s">
        <v>41</v>
      </c>
      <c r="B35">
        <v>552936</v>
      </c>
      <c r="C35" s="2">
        <v>0.110281765460968</v>
      </c>
      <c r="D35" s="2">
        <v>0.30579304695129389</v>
      </c>
      <c r="E35">
        <v>0</v>
      </c>
      <c r="F35">
        <v>0</v>
      </c>
      <c r="G35">
        <v>0</v>
      </c>
      <c r="H35">
        <v>0</v>
      </c>
      <c r="I35">
        <v>1</v>
      </c>
    </row>
    <row r="36" spans="1:9" x14ac:dyDescent="0.25">
      <c r="A36" s="1" t="s">
        <v>42</v>
      </c>
      <c r="B36">
        <v>552936</v>
      </c>
      <c r="C36" s="2">
        <v>0.59026807546615601</v>
      </c>
      <c r="D36" s="2">
        <v>0.48444169759750372</v>
      </c>
      <c r="E36">
        <v>0</v>
      </c>
      <c r="F36">
        <v>0</v>
      </c>
      <c r="G36">
        <v>1</v>
      </c>
      <c r="H36">
        <v>1</v>
      </c>
      <c r="I36">
        <v>1</v>
      </c>
    </row>
    <row r="37" spans="1:9" x14ac:dyDescent="0.25">
      <c r="A37" s="1" t="s">
        <v>43</v>
      </c>
      <c r="B37">
        <v>552936</v>
      </c>
      <c r="C37" s="2">
        <v>0.20433357357978821</v>
      </c>
      <c r="D37" s="2">
        <v>0.39760783314704901</v>
      </c>
      <c r="E37">
        <v>0</v>
      </c>
      <c r="F37">
        <v>0</v>
      </c>
      <c r="G37">
        <v>0</v>
      </c>
      <c r="H37">
        <v>0</v>
      </c>
      <c r="I37">
        <v>1</v>
      </c>
    </row>
    <row r="38" spans="1:9" x14ac:dyDescent="0.25">
      <c r="A38" s="1" t="s">
        <v>44</v>
      </c>
      <c r="B38">
        <v>552936</v>
      </c>
      <c r="C38" s="2">
        <v>7.6455377042293549E-2</v>
      </c>
      <c r="D38" s="2">
        <v>0.25998473167419428</v>
      </c>
      <c r="E38">
        <v>0</v>
      </c>
      <c r="F38">
        <v>0</v>
      </c>
      <c r="G38">
        <v>0</v>
      </c>
      <c r="H38">
        <v>0</v>
      </c>
      <c r="I38">
        <v>1</v>
      </c>
    </row>
    <row r="39" spans="1:9" x14ac:dyDescent="0.25">
      <c r="A39" s="1" t="s">
        <v>45</v>
      </c>
      <c r="B39">
        <v>552936</v>
      </c>
      <c r="C39" s="2">
        <v>2.0980570465326309E-2</v>
      </c>
      <c r="D39" s="2">
        <v>0.13412418961524961</v>
      </c>
      <c r="E39">
        <v>0</v>
      </c>
      <c r="F39">
        <v>0</v>
      </c>
      <c r="G39">
        <v>0</v>
      </c>
      <c r="H39">
        <v>0</v>
      </c>
      <c r="I39">
        <v>1</v>
      </c>
    </row>
    <row r="40" spans="1:9" x14ac:dyDescent="0.25">
      <c r="A40" s="1" t="s">
        <v>46</v>
      </c>
      <c r="B40">
        <v>552936</v>
      </c>
      <c r="C40" s="2">
        <v>0.9254460334777832</v>
      </c>
      <c r="D40" s="2">
        <v>0.25708317756652832</v>
      </c>
      <c r="E40">
        <v>0</v>
      </c>
      <c r="F40">
        <v>1</v>
      </c>
      <c r="G40">
        <v>1</v>
      </c>
      <c r="H40">
        <v>1</v>
      </c>
      <c r="I40">
        <v>1</v>
      </c>
    </row>
    <row r="41" spans="1:9" x14ac:dyDescent="0.25">
      <c r="A41" s="1" t="s">
        <v>47</v>
      </c>
      <c r="B41">
        <v>552936</v>
      </c>
      <c r="C41" s="2">
        <v>8.9518498862162232E-4</v>
      </c>
      <c r="D41" s="2">
        <v>2.905270271003246E-2</v>
      </c>
      <c r="E41">
        <v>0</v>
      </c>
      <c r="F41">
        <v>0</v>
      </c>
      <c r="G41">
        <v>0</v>
      </c>
      <c r="H41">
        <v>0</v>
      </c>
      <c r="I41">
        <v>1</v>
      </c>
    </row>
    <row r="42" spans="1:9" x14ac:dyDescent="0.25">
      <c r="A42" s="1" t="s">
        <v>48</v>
      </c>
      <c r="B42">
        <v>552936</v>
      </c>
      <c r="C42" s="2">
        <v>3.7760347127914429E-2</v>
      </c>
      <c r="D42" s="2">
        <v>0.18951998651027679</v>
      </c>
      <c r="E42">
        <v>0</v>
      </c>
      <c r="F42">
        <v>0</v>
      </c>
      <c r="G42">
        <v>0</v>
      </c>
      <c r="H42">
        <v>0</v>
      </c>
      <c r="I42">
        <v>1</v>
      </c>
    </row>
    <row r="43" spans="1:9" x14ac:dyDescent="0.25">
      <c r="A43" s="1" t="s">
        <v>49</v>
      </c>
      <c r="B43">
        <v>552936</v>
      </c>
      <c r="C43" s="2">
        <v>0.15577471256256101</v>
      </c>
      <c r="D43" s="2">
        <v>0.3593844473361969</v>
      </c>
      <c r="E43">
        <v>0</v>
      </c>
      <c r="F43">
        <v>0</v>
      </c>
      <c r="G43">
        <v>0</v>
      </c>
      <c r="H43">
        <v>0</v>
      </c>
      <c r="I43">
        <v>1</v>
      </c>
    </row>
    <row r="44" spans="1:9" x14ac:dyDescent="0.25">
      <c r="A44" s="1" t="s">
        <v>50</v>
      </c>
      <c r="B44">
        <v>552936</v>
      </c>
      <c r="C44" s="2">
        <v>4.3874278664588928E-2</v>
      </c>
      <c r="D44" s="2">
        <v>0.20261299610137939</v>
      </c>
      <c r="E44">
        <v>0</v>
      </c>
      <c r="F44">
        <v>0</v>
      </c>
      <c r="G44">
        <v>0</v>
      </c>
      <c r="H44">
        <v>0</v>
      </c>
      <c r="I44">
        <v>1</v>
      </c>
    </row>
    <row r="45" spans="1:9" x14ac:dyDescent="0.25">
      <c r="A45" s="1" t="s">
        <v>51</v>
      </c>
      <c r="B45">
        <v>552936</v>
      </c>
      <c r="C45" s="2">
        <v>0.8003498911857605</v>
      </c>
      <c r="D45" s="2">
        <v>0.39615672826766968</v>
      </c>
      <c r="E45">
        <v>0</v>
      </c>
      <c r="F45">
        <v>1</v>
      </c>
      <c r="G45">
        <v>1</v>
      </c>
      <c r="H45">
        <v>1</v>
      </c>
      <c r="I45">
        <v>1</v>
      </c>
    </row>
    <row r="46" spans="1:9" x14ac:dyDescent="0.25">
      <c r="A46" s="1" t="s">
        <v>52</v>
      </c>
      <c r="B46">
        <v>552936</v>
      </c>
      <c r="C46" s="2">
        <v>6</v>
      </c>
      <c r="D46" s="2">
        <v>0</v>
      </c>
      <c r="E46">
        <v>6</v>
      </c>
      <c r="F46">
        <v>6</v>
      </c>
      <c r="G46">
        <v>6</v>
      </c>
      <c r="H46">
        <v>6</v>
      </c>
      <c r="I46">
        <v>6</v>
      </c>
    </row>
    <row r="47" spans="1:9" x14ac:dyDescent="0.25">
      <c r="A47" s="1" t="s">
        <v>53</v>
      </c>
      <c r="B47">
        <v>552936</v>
      </c>
      <c r="C47" s="2">
        <v>0.52684397470955047</v>
      </c>
      <c r="D47" s="2">
        <v>0.49927933248961698</v>
      </c>
      <c r="E47">
        <v>0</v>
      </c>
      <c r="F47">
        <v>0</v>
      </c>
      <c r="G47">
        <v>1</v>
      </c>
      <c r="H47">
        <v>1</v>
      </c>
      <c r="I47">
        <v>1</v>
      </c>
    </row>
    <row r="48" spans="1:9" x14ac:dyDescent="0.25">
      <c r="A48" s="1" t="s">
        <v>54</v>
      </c>
      <c r="B48">
        <v>552936</v>
      </c>
      <c r="C48" s="2">
        <v>5.3971888247464447E-2</v>
      </c>
      <c r="D48" s="2">
        <v>0.2259624213627246</v>
      </c>
      <c r="E48">
        <v>0</v>
      </c>
      <c r="F48">
        <v>0</v>
      </c>
      <c r="G48">
        <v>0</v>
      </c>
      <c r="H48">
        <v>0</v>
      </c>
      <c r="I48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1"/>
  <sheetViews>
    <sheetView workbookViewId="0">
      <selection sqref="A1:B11"/>
    </sheetView>
  </sheetViews>
  <sheetFormatPr defaultRowHeight="15" x14ac:dyDescent="0.25"/>
  <sheetData>
    <row r="1" spans="1:2" x14ac:dyDescent="0.25">
      <c r="A1" s="1" t="s">
        <v>55</v>
      </c>
      <c r="B1" s="1" t="s">
        <v>56</v>
      </c>
    </row>
    <row r="2" spans="1:2" x14ac:dyDescent="0.25">
      <c r="A2" t="s">
        <v>63</v>
      </c>
      <c r="B2">
        <v>25.89</v>
      </c>
    </row>
    <row r="3" spans="1:2" x14ac:dyDescent="0.25">
      <c r="A3" t="s">
        <v>58</v>
      </c>
      <c r="B3">
        <v>11.59</v>
      </c>
    </row>
    <row r="4" spans="1:2" x14ac:dyDescent="0.25">
      <c r="A4" t="s">
        <v>57</v>
      </c>
      <c r="B4">
        <v>6.2</v>
      </c>
    </row>
    <row r="5" spans="1:2" x14ac:dyDescent="0.25">
      <c r="A5" t="s">
        <v>71</v>
      </c>
      <c r="B5">
        <v>5.89</v>
      </c>
    </row>
    <row r="6" spans="1:2" x14ac:dyDescent="0.25">
      <c r="A6" t="s">
        <v>59</v>
      </c>
      <c r="B6">
        <v>4.95</v>
      </c>
    </row>
    <row r="7" spans="1:2" x14ac:dyDescent="0.25">
      <c r="A7" t="s">
        <v>79</v>
      </c>
      <c r="B7">
        <v>3.64</v>
      </c>
    </row>
    <row r="8" spans="1:2" x14ac:dyDescent="0.25">
      <c r="A8" t="s">
        <v>61</v>
      </c>
      <c r="B8">
        <v>3.41</v>
      </c>
    </row>
    <row r="9" spans="1:2" x14ac:dyDescent="0.25">
      <c r="A9" t="s">
        <v>80</v>
      </c>
      <c r="B9">
        <v>3.25</v>
      </c>
    </row>
    <row r="10" spans="1:2" x14ac:dyDescent="0.25">
      <c r="A10" t="s">
        <v>65</v>
      </c>
      <c r="B10">
        <v>3.09</v>
      </c>
    </row>
    <row r="11" spans="1:2" x14ac:dyDescent="0.25">
      <c r="A11" t="s">
        <v>64</v>
      </c>
      <c r="B11">
        <v>2.68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48"/>
  <sheetViews>
    <sheetView topLeftCell="A22" workbookViewId="0">
      <selection activeCell="B31" sqref="B31"/>
    </sheetView>
  </sheetViews>
  <sheetFormatPr defaultRowHeight="15" x14ac:dyDescent="0.25"/>
  <cols>
    <col min="1" max="1" width="23.140625" bestFit="1" customWidth="1"/>
    <col min="3" max="3" width="9.5703125" bestFit="1" customWidth="1"/>
    <col min="4" max="4" width="9.28515625" bestFit="1" customWidth="1"/>
  </cols>
  <sheetData>
    <row r="1" spans="1: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1" t="s">
        <v>8</v>
      </c>
      <c r="B2">
        <v>457785</v>
      </c>
      <c r="C2" s="2">
        <v>1.0805640202278359</v>
      </c>
      <c r="D2" s="2">
        <v>0.28547563000023851</v>
      </c>
      <c r="E2">
        <v>1</v>
      </c>
      <c r="F2">
        <v>1</v>
      </c>
      <c r="G2">
        <v>1</v>
      </c>
      <c r="H2">
        <v>1</v>
      </c>
      <c r="I2">
        <v>5</v>
      </c>
    </row>
    <row r="3" spans="1:9" x14ac:dyDescent="0.25">
      <c r="A3" s="1" t="s">
        <v>9</v>
      </c>
      <c r="B3">
        <v>457785</v>
      </c>
      <c r="C3" s="2">
        <v>179.26765441894531</v>
      </c>
      <c r="D3" s="2">
        <v>63.677780151367188</v>
      </c>
      <c r="E3">
        <v>0</v>
      </c>
      <c r="F3">
        <v>137.0299987792969</v>
      </c>
      <c r="G3">
        <v>172.5</v>
      </c>
      <c r="H3">
        <v>224.25</v>
      </c>
      <c r="I3">
        <v>328.32998657226563</v>
      </c>
    </row>
    <row r="4" spans="1:9" x14ac:dyDescent="0.25">
      <c r="A4" s="1" t="s">
        <v>10</v>
      </c>
      <c r="B4">
        <v>35363</v>
      </c>
      <c r="C4" s="2">
        <v>37.369625091552727</v>
      </c>
      <c r="D4" s="2">
        <v>37.678306579589837</v>
      </c>
      <c r="E4">
        <v>0</v>
      </c>
      <c r="F4">
        <v>0</v>
      </c>
      <c r="G4">
        <v>32</v>
      </c>
      <c r="H4">
        <v>61</v>
      </c>
      <c r="I4">
        <v>269</v>
      </c>
    </row>
    <row r="5" spans="1:9" x14ac:dyDescent="0.25">
      <c r="A5" s="1" t="s">
        <v>11</v>
      </c>
      <c r="B5">
        <v>451415</v>
      </c>
      <c r="C5" s="2">
        <v>10.73764133453369</v>
      </c>
      <c r="D5" s="2">
        <v>9.003300666809082</v>
      </c>
      <c r="E5">
        <v>-12</v>
      </c>
      <c r="F5">
        <v>3</v>
      </c>
      <c r="G5">
        <v>9</v>
      </c>
      <c r="H5">
        <v>17.5</v>
      </c>
      <c r="I5">
        <v>37</v>
      </c>
    </row>
    <row r="6" spans="1:9" x14ac:dyDescent="0.25">
      <c r="A6" s="1" t="s">
        <v>12</v>
      </c>
      <c r="B6">
        <v>457785</v>
      </c>
      <c r="C6" s="2">
        <v>14.269875526428221</v>
      </c>
      <c r="D6" s="2">
        <v>21.85040283203125</v>
      </c>
      <c r="E6">
        <v>1</v>
      </c>
      <c r="F6">
        <v>3</v>
      </c>
      <c r="G6">
        <v>7</v>
      </c>
      <c r="H6">
        <v>10</v>
      </c>
      <c r="I6">
        <v>174</v>
      </c>
    </row>
    <row r="7" spans="1:9" x14ac:dyDescent="0.25">
      <c r="A7" s="1" t="s">
        <v>13</v>
      </c>
      <c r="B7">
        <v>457785</v>
      </c>
      <c r="C7" s="2">
        <v>0.91109704971313477</v>
      </c>
      <c r="D7" s="2">
        <v>0.27982205152511602</v>
      </c>
      <c r="E7">
        <v>0</v>
      </c>
      <c r="F7">
        <v>1</v>
      </c>
      <c r="G7">
        <v>1</v>
      </c>
      <c r="H7">
        <v>1</v>
      </c>
      <c r="I7">
        <v>1</v>
      </c>
    </row>
    <row r="8" spans="1:9" x14ac:dyDescent="0.25">
      <c r="A8" s="1" t="s">
        <v>14</v>
      </c>
      <c r="B8">
        <v>457785</v>
      </c>
      <c r="C8" s="2">
        <v>8.8902965188026428E-2</v>
      </c>
      <c r="D8" s="2">
        <v>0.27982208132743841</v>
      </c>
      <c r="E8">
        <v>0</v>
      </c>
      <c r="F8">
        <v>0</v>
      </c>
      <c r="G8">
        <v>0</v>
      </c>
      <c r="H8">
        <v>0</v>
      </c>
      <c r="I8">
        <v>1</v>
      </c>
    </row>
    <row r="9" spans="1:9" x14ac:dyDescent="0.25">
      <c r="A9" s="1" t="s">
        <v>15</v>
      </c>
      <c r="B9">
        <v>457785</v>
      </c>
      <c r="C9" s="2">
        <v>0.32220208644866938</v>
      </c>
      <c r="D9" s="2">
        <v>0.45983311533927917</v>
      </c>
      <c r="E9">
        <v>0</v>
      </c>
      <c r="F9">
        <v>0</v>
      </c>
      <c r="G9">
        <v>0</v>
      </c>
      <c r="H9">
        <v>1</v>
      </c>
      <c r="I9">
        <v>1</v>
      </c>
    </row>
    <row r="10" spans="1:9" x14ac:dyDescent="0.25">
      <c r="A10" s="1" t="s">
        <v>16</v>
      </c>
      <c r="B10">
        <v>457785</v>
      </c>
      <c r="C10" s="2">
        <v>0.47649499773979193</v>
      </c>
      <c r="D10" s="2">
        <v>0.49150100350379938</v>
      </c>
      <c r="E10">
        <v>0</v>
      </c>
      <c r="F10">
        <v>0</v>
      </c>
      <c r="G10">
        <v>0</v>
      </c>
      <c r="H10">
        <v>1</v>
      </c>
      <c r="I10">
        <v>1</v>
      </c>
    </row>
    <row r="11" spans="1:9" x14ac:dyDescent="0.25">
      <c r="A11" s="1" t="s">
        <v>17</v>
      </c>
      <c r="B11">
        <v>457785</v>
      </c>
      <c r="C11" s="2">
        <v>0.20130011439323431</v>
      </c>
      <c r="D11" s="2">
        <v>0.39539831876754761</v>
      </c>
      <c r="E11">
        <v>0</v>
      </c>
      <c r="F11">
        <v>0</v>
      </c>
      <c r="G11">
        <v>0</v>
      </c>
      <c r="H11">
        <v>0</v>
      </c>
      <c r="I11">
        <v>1</v>
      </c>
    </row>
    <row r="12" spans="1:9" x14ac:dyDescent="0.25">
      <c r="A12" s="1" t="s">
        <v>18</v>
      </c>
      <c r="B12">
        <v>457785</v>
      </c>
      <c r="C12" s="2">
        <v>8.7631968781352043E-3</v>
      </c>
      <c r="D12" s="2">
        <v>9.2537172138690948E-2</v>
      </c>
      <c r="E12">
        <v>0</v>
      </c>
      <c r="F12">
        <v>0</v>
      </c>
      <c r="G12">
        <v>0</v>
      </c>
      <c r="H12">
        <v>0</v>
      </c>
      <c r="I12">
        <v>1</v>
      </c>
    </row>
    <row r="13" spans="1:9" x14ac:dyDescent="0.25">
      <c r="A13" s="1" t="s">
        <v>19</v>
      </c>
      <c r="B13">
        <v>457785</v>
      </c>
      <c r="C13" s="2">
        <v>6.4768397714942694E-4</v>
      </c>
      <c r="D13" s="2">
        <v>2.5149969384074211E-2</v>
      </c>
      <c r="E13">
        <v>0</v>
      </c>
      <c r="F13">
        <v>0</v>
      </c>
      <c r="G13">
        <v>0</v>
      </c>
      <c r="H13">
        <v>0</v>
      </c>
      <c r="I13">
        <v>1</v>
      </c>
    </row>
    <row r="14" spans="1:9" x14ac:dyDescent="0.25">
      <c r="A14" s="1" t="s">
        <v>20</v>
      </c>
      <c r="B14">
        <v>457785</v>
      </c>
      <c r="C14" s="2">
        <v>0.72351282835006714</v>
      </c>
      <c r="D14" s="2">
        <v>0.43454277515411383</v>
      </c>
      <c r="E14">
        <v>0</v>
      </c>
      <c r="F14">
        <v>0</v>
      </c>
      <c r="G14">
        <v>1</v>
      </c>
      <c r="H14">
        <v>1</v>
      </c>
      <c r="I14">
        <v>1</v>
      </c>
    </row>
    <row r="15" spans="1:9" x14ac:dyDescent="0.25">
      <c r="A15" s="1" t="s">
        <v>21</v>
      </c>
      <c r="B15">
        <v>457785</v>
      </c>
      <c r="C15" s="2">
        <v>3.3858689130283892E-4</v>
      </c>
      <c r="D15" s="2">
        <v>1.8397632986307141E-2</v>
      </c>
      <c r="E15">
        <v>0</v>
      </c>
      <c r="F15">
        <v>0</v>
      </c>
      <c r="G15">
        <v>0</v>
      </c>
      <c r="H15">
        <v>0</v>
      </c>
      <c r="I15">
        <v>1</v>
      </c>
    </row>
    <row r="16" spans="1:9" x14ac:dyDescent="0.25">
      <c r="A16" s="1" t="s">
        <v>22</v>
      </c>
      <c r="B16">
        <v>457785</v>
      </c>
      <c r="C16" s="2">
        <v>3.3513899892568588E-2</v>
      </c>
      <c r="D16" s="2">
        <v>0.1767069548368454</v>
      </c>
      <c r="E16">
        <v>0</v>
      </c>
      <c r="F16">
        <v>0</v>
      </c>
      <c r="G16">
        <v>0</v>
      </c>
      <c r="H16">
        <v>0</v>
      </c>
      <c r="I16">
        <v>1</v>
      </c>
    </row>
    <row r="17" spans="1:9" x14ac:dyDescent="0.25">
      <c r="A17" s="1" t="s">
        <v>23</v>
      </c>
      <c r="B17">
        <v>457785</v>
      </c>
      <c r="C17" s="2">
        <v>1.095492392778397E-3</v>
      </c>
      <c r="D17" s="2">
        <v>3.297264501452446E-2</v>
      </c>
      <c r="E17">
        <v>0</v>
      </c>
      <c r="F17">
        <v>0</v>
      </c>
      <c r="G17">
        <v>0</v>
      </c>
      <c r="H17">
        <v>0</v>
      </c>
      <c r="I17">
        <v>1</v>
      </c>
    </row>
    <row r="18" spans="1:9" x14ac:dyDescent="0.25">
      <c r="A18" s="1" t="s">
        <v>24</v>
      </c>
      <c r="B18">
        <v>457785</v>
      </c>
      <c r="C18" s="2">
        <v>0</v>
      </c>
      <c r="D18" s="2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5">
      <c r="A19" s="1" t="s">
        <v>25</v>
      </c>
      <c r="B19">
        <v>457785</v>
      </c>
      <c r="C19" s="2">
        <v>0</v>
      </c>
      <c r="D19" s="2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25">
      <c r="A20" s="1" t="s">
        <v>26</v>
      </c>
      <c r="B20">
        <v>457785</v>
      </c>
      <c r="C20" s="2">
        <v>0</v>
      </c>
      <c r="D20" s="2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 x14ac:dyDescent="0.25">
      <c r="A21" s="1" t="s">
        <v>27</v>
      </c>
      <c r="B21">
        <v>457785</v>
      </c>
      <c r="C21" s="2">
        <v>0</v>
      </c>
      <c r="D21" s="2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x14ac:dyDescent="0.25">
      <c r="A22" s="1" t="s">
        <v>28</v>
      </c>
      <c r="B22">
        <v>457785</v>
      </c>
      <c r="C22" s="2">
        <v>9.3890363350510597E-3</v>
      </c>
      <c r="D22" s="2">
        <v>9.4193063676357269E-2</v>
      </c>
      <c r="E22">
        <v>0</v>
      </c>
      <c r="F22">
        <v>0</v>
      </c>
      <c r="G22">
        <v>0</v>
      </c>
      <c r="H22">
        <v>0</v>
      </c>
      <c r="I22">
        <v>1</v>
      </c>
    </row>
    <row r="23" spans="1:9" x14ac:dyDescent="0.25">
      <c r="A23" s="1" t="s">
        <v>29</v>
      </c>
      <c r="B23">
        <v>457785</v>
      </c>
      <c r="C23" s="2">
        <v>5.9198093367740512E-4</v>
      </c>
      <c r="D23" s="2">
        <v>2.4029836058616642E-2</v>
      </c>
      <c r="E23">
        <v>0</v>
      </c>
      <c r="F23">
        <v>0</v>
      </c>
      <c r="G23">
        <v>0</v>
      </c>
      <c r="H23">
        <v>0</v>
      </c>
      <c r="I23">
        <v>1</v>
      </c>
    </row>
    <row r="24" spans="1:9" x14ac:dyDescent="0.25">
      <c r="A24" s="1" t="s">
        <v>30</v>
      </c>
      <c r="B24">
        <v>457785</v>
      </c>
      <c r="C24" s="2">
        <v>0.19373789429664609</v>
      </c>
      <c r="D24" s="2">
        <v>0.38259205222129822</v>
      </c>
      <c r="E24">
        <v>0</v>
      </c>
      <c r="F24">
        <v>0</v>
      </c>
      <c r="G24">
        <v>0</v>
      </c>
      <c r="H24">
        <v>0</v>
      </c>
      <c r="I24">
        <v>1</v>
      </c>
    </row>
    <row r="25" spans="1:9" x14ac:dyDescent="0.25">
      <c r="A25" s="1" t="s">
        <v>31</v>
      </c>
      <c r="B25">
        <v>457785</v>
      </c>
      <c r="C25" s="2">
        <v>3.3531023655086761E-4</v>
      </c>
      <c r="D25" s="2">
        <v>1.8233709037303921E-2</v>
      </c>
      <c r="E25">
        <v>0</v>
      </c>
      <c r="F25">
        <v>0</v>
      </c>
      <c r="G25">
        <v>0</v>
      </c>
      <c r="H25">
        <v>0</v>
      </c>
      <c r="I25">
        <v>1</v>
      </c>
    </row>
    <row r="26" spans="1:9" x14ac:dyDescent="0.25">
      <c r="A26" s="1" t="s">
        <v>32</v>
      </c>
      <c r="B26">
        <v>457785</v>
      </c>
      <c r="C26" s="2">
        <v>2.6559110730886459E-2</v>
      </c>
      <c r="D26" s="2">
        <v>0.15223249793052671</v>
      </c>
      <c r="E26">
        <v>0</v>
      </c>
      <c r="F26">
        <v>0</v>
      </c>
      <c r="G26">
        <v>0</v>
      </c>
      <c r="H26">
        <v>0</v>
      </c>
      <c r="I26">
        <v>1</v>
      </c>
    </row>
    <row r="27" spans="1:9" x14ac:dyDescent="0.25">
      <c r="A27" s="1" t="s">
        <v>33</v>
      </c>
      <c r="B27">
        <v>457785</v>
      </c>
      <c r="C27" s="2">
        <v>1.514903269708157E-3</v>
      </c>
      <c r="D27" s="2">
        <v>3.8674056529998779E-2</v>
      </c>
      <c r="E27">
        <v>0</v>
      </c>
      <c r="F27">
        <v>0</v>
      </c>
      <c r="G27">
        <v>0</v>
      </c>
      <c r="H27">
        <v>0</v>
      </c>
      <c r="I27">
        <v>1</v>
      </c>
    </row>
    <row r="28" spans="1:9" x14ac:dyDescent="0.25">
      <c r="A28" s="1" t="s">
        <v>34</v>
      </c>
      <c r="B28">
        <v>457785</v>
      </c>
      <c r="C28" s="2">
        <v>0</v>
      </c>
      <c r="D28" s="2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 x14ac:dyDescent="0.25">
      <c r="A29" s="1" t="s">
        <v>35</v>
      </c>
      <c r="B29">
        <v>457785</v>
      </c>
      <c r="C29" s="2">
        <v>0</v>
      </c>
      <c r="D29" s="2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 x14ac:dyDescent="0.25">
      <c r="A30" s="1" t="s">
        <v>36</v>
      </c>
      <c r="B30">
        <v>457785</v>
      </c>
      <c r="C30" s="2">
        <v>0</v>
      </c>
      <c r="D30" s="2">
        <v>0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 x14ac:dyDescent="0.25">
      <c r="A31" s="1" t="s">
        <v>37</v>
      </c>
      <c r="B31">
        <v>457785</v>
      </c>
      <c r="C31" s="2">
        <v>0</v>
      </c>
      <c r="D31" s="2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25">
      <c r="A32" s="1" t="s">
        <v>38</v>
      </c>
      <c r="B32">
        <v>457785</v>
      </c>
      <c r="C32" s="2">
        <v>1.05113317386983</v>
      </c>
      <c r="D32" s="2">
        <v>0.2202695584631694</v>
      </c>
      <c r="E32">
        <v>1</v>
      </c>
      <c r="F32">
        <v>1</v>
      </c>
      <c r="G32">
        <v>1</v>
      </c>
      <c r="H32">
        <v>1</v>
      </c>
      <c r="I32">
        <v>2</v>
      </c>
    </row>
    <row r="33" spans="1:9" x14ac:dyDescent="0.25">
      <c r="A33" s="1" t="s">
        <v>39</v>
      </c>
      <c r="B33">
        <v>457785</v>
      </c>
      <c r="C33" s="2">
        <v>5.5605578236281872E-3</v>
      </c>
      <c r="D33" s="2">
        <v>7.1104444563388824E-2</v>
      </c>
      <c r="E33">
        <v>0</v>
      </c>
      <c r="F33">
        <v>0</v>
      </c>
      <c r="G33">
        <v>0</v>
      </c>
      <c r="H33">
        <v>0</v>
      </c>
      <c r="I33">
        <v>1</v>
      </c>
    </row>
    <row r="34" spans="1:9" x14ac:dyDescent="0.25">
      <c r="A34" s="1" t="s">
        <v>40</v>
      </c>
      <c r="B34">
        <v>457785</v>
      </c>
      <c r="C34" s="2">
        <v>1.2247215025126931E-2</v>
      </c>
      <c r="D34" s="2">
        <v>0.10657369345426559</v>
      </c>
      <c r="E34">
        <v>0</v>
      </c>
      <c r="F34">
        <v>0</v>
      </c>
      <c r="G34">
        <v>0</v>
      </c>
      <c r="H34">
        <v>0</v>
      </c>
      <c r="I34">
        <v>1</v>
      </c>
    </row>
    <row r="35" spans="1:9" x14ac:dyDescent="0.25">
      <c r="A35" s="1" t="s">
        <v>41</v>
      </c>
      <c r="B35">
        <v>457785</v>
      </c>
      <c r="C35" s="2">
        <v>0.1117717400193214</v>
      </c>
      <c r="D35" s="2">
        <v>0.30685070157051092</v>
      </c>
      <c r="E35">
        <v>0</v>
      </c>
      <c r="F35">
        <v>0</v>
      </c>
      <c r="G35">
        <v>0</v>
      </c>
      <c r="H35">
        <v>0</v>
      </c>
      <c r="I35">
        <v>1</v>
      </c>
    </row>
    <row r="36" spans="1:9" x14ac:dyDescent="0.25">
      <c r="A36" s="1" t="s">
        <v>42</v>
      </c>
      <c r="B36">
        <v>457785</v>
      </c>
      <c r="C36" s="2">
        <v>0.1464772820472717</v>
      </c>
      <c r="D36" s="2">
        <v>0.34588614106178278</v>
      </c>
      <c r="E36">
        <v>0</v>
      </c>
      <c r="F36">
        <v>0</v>
      </c>
      <c r="G36">
        <v>0</v>
      </c>
      <c r="H36">
        <v>0</v>
      </c>
      <c r="I36">
        <v>1</v>
      </c>
    </row>
    <row r="37" spans="1:9" x14ac:dyDescent="0.25">
      <c r="A37" s="1" t="s">
        <v>43</v>
      </c>
      <c r="B37">
        <v>457785</v>
      </c>
      <c r="C37" s="2">
        <v>0.66510826349258423</v>
      </c>
      <c r="D37" s="2">
        <v>0.46342644095420837</v>
      </c>
      <c r="E37">
        <v>0</v>
      </c>
      <c r="F37">
        <v>0</v>
      </c>
      <c r="G37">
        <v>1</v>
      </c>
      <c r="H37">
        <v>1</v>
      </c>
      <c r="I37">
        <v>1</v>
      </c>
    </row>
    <row r="38" spans="1:9" x14ac:dyDescent="0.25">
      <c r="A38" s="1" t="s">
        <v>44</v>
      </c>
      <c r="B38">
        <v>457785</v>
      </c>
      <c r="C38" s="2">
        <v>5.8831289410591132E-2</v>
      </c>
      <c r="D38" s="2">
        <v>0.22754974663257599</v>
      </c>
      <c r="E38">
        <v>0</v>
      </c>
      <c r="F38">
        <v>0</v>
      </c>
      <c r="G38">
        <v>0</v>
      </c>
      <c r="H38">
        <v>0</v>
      </c>
      <c r="I38">
        <v>1</v>
      </c>
    </row>
    <row r="39" spans="1:9" x14ac:dyDescent="0.25">
      <c r="A39" s="1" t="s">
        <v>45</v>
      </c>
      <c r="B39">
        <v>457785</v>
      </c>
      <c r="C39" s="2">
        <v>5.3273972123861313E-2</v>
      </c>
      <c r="D39" s="2">
        <v>0.21843613684177399</v>
      </c>
      <c r="E39">
        <v>0</v>
      </c>
      <c r="F39">
        <v>0</v>
      </c>
      <c r="G39">
        <v>0</v>
      </c>
      <c r="H39">
        <v>0</v>
      </c>
      <c r="I39">
        <v>1</v>
      </c>
    </row>
    <row r="40" spans="1:9" x14ac:dyDescent="0.25">
      <c r="A40" s="1" t="s">
        <v>46</v>
      </c>
      <c r="B40">
        <v>457785</v>
      </c>
      <c r="C40" s="2">
        <v>0.81861770153045654</v>
      </c>
      <c r="D40" s="2">
        <v>0.38116160035133362</v>
      </c>
      <c r="E40">
        <v>0</v>
      </c>
      <c r="F40">
        <v>1</v>
      </c>
      <c r="G40">
        <v>1</v>
      </c>
      <c r="H40">
        <v>1</v>
      </c>
      <c r="I40">
        <v>1</v>
      </c>
    </row>
    <row r="41" spans="1:9" x14ac:dyDescent="0.25">
      <c r="A41" s="1" t="s">
        <v>47</v>
      </c>
      <c r="B41">
        <v>457785</v>
      </c>
      <c r="C41" s="2">
        <v>2.3620259016752239E-3</v>
      </c>
      <c r="D41" s="2">
        <v>4.719226062297821E-2</v>
      </c>
      <c r="E41">
        <v>0</v>
      </c>
      <c r="F41">
        <v>0</v>
      </c>
      <c r="G41">
        <v>0</v>
      </c>
      <c r="H41">
        <v>0</v>
      </c>
      <c r="I41">
        <v>1</v>
      </c>
    </row>
    <row r="42" spans="1:9" x14ac:dyDescent="0.25">
      <c r="A42" s="1" t="s">
        <v>48</v>
      </c>
      <c r="B42">
        <v>457785</v>
      </c>
      <c r="C42" s="2">
        <v>9.6032373607158661E-2</v>
      </c>
      <c r="D42" s="2">
        <v>0.2931172251701355</v>
      </c>
      <c r="E42">
        <v>0</v>
      </c>
      <c r="F42">
        <v>0</v>
      </c>
      <c r="G42">
        <v>0</v>
      </c>
      <c r="H42">
        <v>0</v>
      </c>
      <c r="I42">
        <v>1</v>
      </c>
    </row>
    <row r="43" spans="1:9" x14ac:dyDescent="0.25">
      <c r="A43" s="1" t="s">
        <v>49</v>
      </c>
      <c r="B43">
        <v>457785</v>
      </c>
      <c r="C43" s="2">
        <v>0.15159094333648679</v>
      </c>
      <c r="D43" s="2">
        <v>0.356180340051651</v>
      </c>
      <c r="E43">
        <v>0</v>
      </c>
      <c r="F43">
        <v>0</v>
      </c>
      <c r="G43">
        <v>0</v>
      </c>
      <c r="H43">
        <v>0</v>
      </c>
      <c r="I43">
        <v>1</v>
      </c>
    </row>
    <row r="44" spans="1:9" x14ac:dyDescent="0.25">
      <c r="A44" s="1" t="s">
        <v>50</v>
      </c>
      <c r="B44">
        <v>457785</v>
      </c>
      <c r="C44" s="2">
        <v>5.0018858164548867E-2</v>
      </c>
      <c r="D44" s="2">
        <v>0.21644590795040131</v>
      </c>
      <c r="E44">
        <v>0</v>
      </c>
      <c r="F44">
        <v>0</v>
      </c>
      <c r="G44">
        <v>0</v>
      </c>
      <c r="H44">
        <v>0</v>
      </c>
      <c r="I44">
        <v>1</v>
      </c>
    </row>
    <row r="45" spans="1:9" x14ac:dyDescent="0.25">
      <c r="A45" s="1" t="s">
        <v>51</v>
      </c>
      <c r="B45">
        <v>457785</v>
      </c>
      <c r="C45" s="2">
        <v>0.79838979244232178</v>
      </c>
      <c r="D45" s="2">
        <v>0.39846929907798773</v>
      </c>
      <c r="E45">
        <v>0</v>
      </c>
      <c r="F45">
        <v>1</v>
      </c>
      <c r="G45">
        <v>1</v>
      </c>
      <c r="H45">
        <v>1</v>
      </c>
      <c r="I45">
        <v>1</v>
      </c>
    </row>
    <row r="46" spans="1:9" x14ac:dyDescent="0.25">
      <c r="A46" s="1" t="s">
        <v>52</v>
      </c>
      <c r="B46">
        <v>457785</v>
      </c>
      <c r="C46" s="2">
        <v>7</v>
      </c>
      <c r="D46" s="2">
        <v>0</v>
      </c>
      <c r="E46">
        <v>7</v>
      </c>
      <c r="F46">
        <v>7</v>
      </c>
      <c r="G46">
        <v>7</v>
      </c>
      <c r="H46">
        <v>7</v>
      </c>
      <c r="I46">
        <v>7</v>
      </c>
    </row>
    <row r="47" spans="1:9" x14ac:dyDescent="0.25">
      <c r="A47" s="1" t="s">
        <v>53</v>
      </c>
      <c r="B47">
        <v>457785</v>
      </c>
      <c r="C47" s="2">
        <v>0.52797929158884627</v>
      </c>
      <c r="D47" s="2">
        <v>0.49921709069422149</v>
      </c>
      <c r="E47">
        <v>0</v>
      </c>
      <c r="F47">
        <v>0</v>
      </c>
      <c r="G47">
        <v>1</v>
      </c>
      <c r="H47">
        <v>1</v>
      </c>
      <c r="I47">
        <v>1</v>
      </c>
    </row>
    <row r="48" spans="1:9" x14ac:dyDescent="0.25">
      <c r="A48" s="1" t="s">
        <v>54</v>
      </c>
      <c r="B48">
        <v>457785</v>
      </c>
      <c r="C48" s="2">
        <v>9.4863309195364634E-2</v>
      </c>
      <c r="D48" s="2">
        <v>0.29302636285645339</v>
      </c>
      <c r="E48">
        <v>0</v>
      </c>
      <c r="F48">
        <v>0</v>
      </c>
      <c r="G48">
        <v>0</v>
      </c>
      <c r="H48">
        <v>0</v>
      </c>
      <c r="I48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11"/>
  <sheetViews>
    <sheetView workbookViewId="0">
      <selection sqref="A1:B11"/>
    </sheetView>
  </sheetViews>
  <sheetFormatPr defaultRowHeight="15" x14ac:dyDescent="0.25"/>
  <sheetData>
    <row r="1" spans="1:2" x14ac:dyDescent="0.25">
      <c r="A1" s="1" t="s">
        <v>55</v>
      </c>
      <c r="B1" s="1" t="s">
        <v>56</v>
      </c>
    </row>
    <row r="2" spans="1:2" x14ac:dyDescent="0.25">
      <c r="A2" t="s">
        <v>63</v>
      </c>
      <c r="B2">
        <v>27.28</v>
      </c>
    </row>
    <row r="3" spans="1:2" x14ac:dyDescent="0.25">
      <c r="A3" t="s">
        <v>71</v>
      </c>
      <c r="B3">
        <v>11.13</v>
      </c>
    </row>
    <row r="4" spans="1:2" x14ac:dyDescent="0.25">
      <c r="A4" t="s">
        <v>57</v>
      </c>
      <c r="B4">
        <v>9.51</v>
      </c>
    </row>
    <row r="5" spans="1:2" x14ac:dyDescent="0.25">
      <c r="A5" t="s">
        <v>58</v>
      </c>
      <c r="B5">
        <v>8.68</v>
      </c>
    </row>
    <row r="6" spans="1:2" x14ac:dyDescent="0.25">
      <c r="A6" t="s">
        <v>61</v>
      </c>
      <c r="B6">
        <v>5.79</v>
      </c>
    </row>
    <row r="7" spans="1:2" x14ac:dyDescent="0.25">
      <c r="A7" t="s">
        <v>59</v>
      </c>
      <c r="B7">
        <v>4.6900000000000004</v>
      </c>
    </row>
    <row r="8" spans="1:2" x14ac:dyDescent="0.25">
      <c r="A8" t="s">
        <v>64</v>
      </c>
      <c r="B8">
        <v>2.52</v>
      </c>
    </row>
    <row r="9" spans="1:2" x14ac:dyDescent="0.25">
      <c r="A9" t="s">
        <v>65</v>
      </c>
      <c r="B9">
        <v>1.76</v>
      </c>
    </row>
    <row r="10" spans="1:2" x14ac:dyDescent="0.25">
      <c r="A10" t="s">
        <v>81</v>
      </c>
      <c r="B10">
        <v>1.64</v>
      </c>
    </row>
    <row r="11" spans="1:2" x14ac:dyDescent="0.25">
      <c r="A11" t="s">
        <v>75</v>
      </c>
      <c r="B11">
        <v>1.63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C693E-D195-4DDB-B3B0-CAEAB7F1C623}">
  <dimension ref="A1:N13"/>
  <sheetViews>
    <sheetView workbookViewId="0">
      <selection activeCell="D2" activeCellId="1" sqref="I2:I11 D2:D11"/>
    </sheetView>
  </sheetViews>
  <sheetFormatPr defaultRowHeight="15" x14ac:dyDescent="0.25"/>
  <sheetData>
    <row r="1" spans="1:14" x14ac:dyDescent="0.25">
      <c r="A1" s="1" t="s">
        <v>55</v>
      </c>
      <c r="B1" s="1" t="s">
        <v>56</v>
      </c>
      <c r="C1" t="s">
        <v>52</v>
      </c>
      <c r="D1" t="s">
        <v>0</v>
      </c>
      <c r="F1" s="1" t="s">
        <v>55</v>
      </c>
      <c r="G1" s="1" t="s">
        <v>56</v>
      </c>
      <c r="H1" t="s">
        <v>52</v>
      </c>
      <c r="I1" t="s">
        <v>0</v>
      </c>
      <c r="L1" s="1" t="s">
        <v>55</v>
      </c>
      <c r="M1" s="1" t="s">
        <v>56</v>
      </c>
      <c r="N1" t="s">
        <v>0</v>
      </c>
    </row>
    <row r="2" spans="1:14" x14ac:dyDescent="0.25">
      <c r="A2" t="s">
        <v>63</v>
      </c>
      <c r="B2">
        <v>27.28</v>
      </c>
      <c r="C2">
        <v>457785</v>
      </c>
      <c r="D2">
        <f>C2*B2/100</f>
        <v>124883.74800000001</v>
      </c>
      <c r="F2" t="s">
        <v>63</v>
      </c>
      <c r="G2">
        <v>25.89</v>
      </c>
      <c r="H2">
        <v>552936</v>
      </c>
      <c r="I2">
        <f>H2*G2/100</f>
        <v>143155.13040000002</v>
      </c>
      <c r="L2" t="str" cm="1">
        <f t="array" ref="L2:L13">_xlfn.UNIQUE(_xlfn.VSTACK(A2:A11,F2:F11))</f>
        <v>ID</v>
      </c>
      <c r="M2" s="3">
        <f>N2/SUM($N$2:$N$13)</f>
        <v>0.36619210704751487</v>
      </c>
      <c r="N2">
        <f>SUMIF($F$2:$F$11,L2,$I$2:$I$11)+SUMIF($A$2:$A$11,L2,$D$2:$D$11)</f>
        <v>268038.87840000005</v>
      </c>
    </row>
    <row r="3" spans="1:14" x14ac:dyDescent="0.25">
      <c r="A3" t="s">
        <v>71</v>
      </c>
      <c r="B3">
        <v>11.13</v>
      </c>
      <c r="C3">
        <v>457785</v>
      </c>
      <c r="D3">
        <f t="shared" ref="D3:D11" si="0">C3*B3/100</f>
        <v>50951.47050000001</v>
      </c>
      <c r="F3" t="s">
        <v>58</v>
      </c>
      <c r="G3">
        <v>11.59</v>
      </c>
      <c r="H3">
        <v>552936</v>
      </c>
      <c r="I3">
        <f t="shared" ref="I3:I11" si="1">H3*G3/100</f>
        <v>64085.282400000004</v>
      </c>
      <c r="L3" t="str">
        <v>MY</v>
      </c>
      <c r="M3" s="3">
        <f t="shared" ref="M3:M13" si="2">N3/SUM($N$2:$N$13)</f>
        <v>0.11410339267751954</v>
      </c>
      <c r="N3">
        <f t="shared" ref="N3:N13" si="3">SUMIF($F$2:$F$11,L3,$I$2:$I$11)+SUMIF($A$2:$A$11,L3,$D$2:$D$11)</f>
        <v>83519.400900000008</v>
      </c>
    </row>
    <row r="4" spans="1:14" x14ac:dyDescent="0.25">
      <c r="A4" t="s">
        <v>57</v>
      </c>
      <c r="B4">
        <v>9.51</v>
      </c>
      <c r="C4">
        <v>457785</v>
      </c>
      <c r="D4">
        <f t="shared" si="0"/>
        <v>43535.353499999997</v>
      </c>
      <c r="F4" t="s">
        <v>57</v>
      </c>
      <c r="G4">
        <v>6.2</v>
      </c>
      <c r="H4">
        <v>552936</v>
      </c>
      <c r="I4">
        <f t="shared" si="1"/>
        <v>34282.031999999999</v>
      </c>
      <c r="L4" t="str">
        <v>SA</v>
      </c>
      <c r="M4" s="3">
        <f t="shared" si="2"/>
        <v>0.10631335473150424</v>
      </c>
      <c r="N4">
        <f t="shared" si="3"/>
        <v>77817.385500000004</v>
      </c>
    </row>
    <row r="5" spans="1:14" x14ac:dyDescent="0.25">
      <c r="A5" t="s">
        <v>58</v>
      </c>
      <c r="B5">
        <v>8.68</v>
      </c>
      <c r="C5">
        <v>457785</v>
      </c>
      <c r="D5">
        <f t="shared" si="0"/>
        <v>39735.737999999998</v>
      </c>
      <c r="F5" t="s">
        <v>71</v>
      </c>
      <c r="G5">
        <v>5.89</v>
      </c>
      <c r="H5">
        <v>552936</v>
      </c>
      <c r="I5">
        <f t="shared" si="1"/>
        <v>32567.930400000001</v>
      </c>
      <c r="L5" t="str">
        <v>EG</v>
      </c>
      <c r="M5" s="3">
        <f t="shared" si="2"/>
        <v>0.14183926765789295</v>
      </c>
      <c r="N5">
        <f t="shared" si="3"/>
        <v>103821.02040000001</v>
      </c>
    </row>
    <row r="6" spans="1:14" x14ac:dyDescent="0.25">
      <c r="A6" t="s">
        <v>61</v>
      </c>
      <c r="B6">
        <v>5.79</v>
      </c>
      <c r="C6">
        <v>457785</v>
      </c>
      <c r="D6">
        <f t="shared" si="0"/>
        <v>26505.751499999998</v>
      </c>
      <c r="F6" t="s">
        <v>59</v>
      </c>
      <c r="G6">
        <v>4.95</v>
      </c>
      <c r="H6">
        <v>552936</v>
      </c>
      <c r="I6">
        <f t="shared" si="1"/>
        <v>27370.332000000002</v>
      </c>
      <c r="L6" t="str">
        <v>IN</v>
      </c>
      <c r="M6" s="3">
        <f t="shared" si="2"/>
        <v>6.1971577900900167E-2</v>
      </c>
      <c r="N6">
        <f t="shared" si="3"/>
        <v>45360.869099999996</v>
      </c>
    </row>
    <row r="7" spans="1:14" x14ac:dyDescent="0.25">
      <c r="A7" t="s">
        <v>59</v>
      </c>
      <c r="B7">
        <v>4.6900000000000004</v>
      </c>
      <c r="C7">
        <v>457785</v>
      </c>
      <c r="D7">
        <f t="shared" si="0"/>
        <v>21470.116500000004</v>
      </c>
      <c r="F7" t="s">
        <v>79</v>
      </c>
      <c r="G7">
        <v>3.64</v>
      </c>
      <c r="H7">
        <v>552936</v>
      </c>
      <c r="I7">
        <f t="shared" si="1"/>
        <v>20126.8704</v>
      </c>
      <c r="L7" t="str">
        <v>PK</v>
      </c>
      <c r="M7" s="3">
        <f t="shared" si="2"/>
        <v>6.6725345413028103E-2</v>
      </c>
      <c r="N7">
        <f t="shared" si="3"/>
        <v>48840.448500000006</v>
      </c>
    </row>
    <row r="8" spans="1:14" x14ac:dyDescent="0.25">
      <c r="A8" t="s">
        <v>64</v>
      </c>
      <c r="B8">
        <v>2.52</v>
      </c>
      <c r="C8">
        <v>457785</v>
      </c>
      <c r="D8">
        <f t="shared" si="0"/>
        <v>11536.181999999999</v>
      </c>
      <c r="F8" t="s">
        <v>61</v>
      </c>
      <c r="G8">
        <v>3.41</v>
      </c>
      <c r="H8">
        <v>552936</v>
      </c>
      <c r="I8">
        <f t="shared" si="1"/>
        <v>18855.117600000001</v>
      </c>
      <c r="L8" t="str">
        <v>GB</v>
      </c>
      <c r="M8" s="3">
        <f t="shared" si="2"/>
        <v>3.6005762529890489E-2</v>
      </c>
      <c r="N8">
        <f t="shared" si="3"/>
        <v>26354.866799999996</v>
      </c>
    </row>
    <row r="9" spans="1:14" x14ac:dyDescent="0.25">
      <c r="A9" t="s">
        <v>65</v>
      </c>
      <c r="B9">
        <v>1.76</v>
      </c>
      <c r="C9">
        <v>457785</v>
      </c>
      <c r="D9">
        <f t="shared" si="0"/>
        <v>8057.0159999999996</v>
      </c>
      <c r="F9" t="s">
        <v>80</v>
      </c>
      <c r="G9">
        <v>3.25</v>
      </c>
      <c r="H9">
        <v>552936</v>
      </c>
      <c r="I9">
        <f t="shared" si="1"/>
        <v>17970.419999999998</v>
      </c>
      <c r="L9" t="str">
        <v>US</v>
      </c>
      <c r="M9" s="3">
        <f t="shared" si="2"/>
        <v>3.4349764506552499E-2</v>
      </c>
      <c r="N9">
        <f t="shared" si="3"/>
        <v>25142.738399999998</v>
      </c>
    </row>
    <row r="10" spans="1:14" x14ac:dyDescent="0.25">
      <c r="A10" t="s">
        <v>81</v>
      </c>
      <c r="B10">
        <v>1.64</v>
      </c>
      <c r="C10">
        <v>457785</v>
      </c>
      <c r="D10">
        <f t="shared" si="0"/>
        <v>7507.6739999999991</v>
      </c>
      <c r="F10" t="s">
        <v>65</v>
      </c>
      <c r="G10">
        <v>3.09</v>
      </c>
      <c r="H10">
        <v>552936</v>
      </c>
      <c r="I10">
        <f t="shared" si="1"/>
        <v>17085.722399999999</v>
      </c>
      <c r="L10" t="str">
        <v>JO</v>
      </c>
      <c r="M10" s="3">
        <f t="shared" si="2"/>
        <v>1.0256911152206357E-2</v>
      </c>
      <c r="N10">
        <f t="shared" si="3"/>
        <v>7507.6739999999991</v>
      </c>
    </row>
    <row r="11" spans="1:14" x14ac:dyDescent="0.25">
      <c r="A11" t="s">
        <v>75</v>
      </c>
      <c r="B11">
        <v>1.63</v>
      </c>
      <c r="C11">
        <v>457785</v>
      </c>
      <c r="D11">
        <f t="shared" si="0"/>
        <v>7461.8954999999996</v>
      </c>
      <c r="F11" t="s">
        <v>64</v>
      </c>
      <c r="G11">
        <v>2.68</v>
      </c>
      <c r="H11">
        <v>552936</v>
      </c>
      <c r="I11">
        <f t="shared" si="1"/>
        <v>14818.684799999999</v>
      </c>
      <c r="L11" t="str">
        <v>SG</v>
      </c>
      <c r="M11" s="3">
        <f t="shared" si="2"/>
        <v>1.0194369011034368E-2</v>
      </c>
      <c r="N11">
        <f t="shared" si="3"/>
        <v>7461.8954999999996</v>
      </c>
    </row>
    <row r="12" spans="1:14" x14ac:dyDescent="0.25">
      <c r="L12" t="str">
        <v>IQ</v>
      </c>
      <c r="M12" s="3">
        <f t="shared" si="2"/>
        <v>2.7497134460656127E-2</v>
      </c>
      <c r="N12">
        <f t="shared" si="3"/>
        <v>20126.8704</v>
      </c>
    </row>
    <row r="13" spans="1:14" x14ac:dyDescent="0.25">
      <c r="L13" t="str">
        <v>UZ</v>
      </c>
      <c r="M13" s="3">
        <f t="shared" si="2"/>
        <v>2.4551012911300112E-2</v>
      </c>
      <c r="N13">
        <f t="shared" si="3"/>
        <v>17970.419999999998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606e941-3824-4ef1-b515-fe2080f4379d">
      <Terms xmlns="http://schemas.microsoft.com/office/infopath/2007/PartnerControls"/>
    </lcf76f155ced4ddcb4097134ff3c332f>
    <TaxCatchAll xmlns="0ce017d3-1494-4201-9a02-4f3900890ef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6C7FE9F078E1478EFB042BCE83A9F7" ma:contentTypeVersion="12" ma:contentTypeDescription="Create a new document." ma:contentTypeScope="" ma:versionID="56afb4f7de11a046083d8dc4bdf90a30">
  <xsd:schema xmlns:xsd="http://www.w3.org/2001/XMLSchema" xmlns:xs="http://www.w3.org/2001/XMLSchema" xmlns:p="http://schemas.microsoft.com/office/2006/metadata/properties" xmlns:ns2="f606e941-3824-4ef1-b515-fe2080f4379d" xmlns:ns3="0ce017d3-1494-4201-9a02-4f3900890ef5" targetNamespace="http://schemas.microsoft.com/office/2006/metadata/properties" ma:root="true" ma:fieldsID="495d0ce6239d738092e61e714a1c2f77" ns2:_="" ns3:_="">
    <xsd:import namespace="f606e941-3824-4ef1-b515-fe2080f4379d"/>
    <xsd:import namespace="0ce017d3-1494-4201-9a02-4f3900890e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06e941-3824-4ef1-b515-fe2080f437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ebe3d27-cdb5-415f-9fad-ca98ca011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e017d3-1494-4201-9a02-4f3900890ef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6aeba48-316f-46e5-92c4-95d69f89c778}" ma:internalName="TaxCatchAll" ma:showField="CatchAllData" ma:web="0ce017d3-1494-4201-9a02-4f3900890e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2A7BE61-46FA-42DC-98CC-87E644C4BD49}">
  <ds:schemaRefs>
    <ds:schemaRef ds:uri="http://schemas.microsoft.com/office/2006/metadata/properties"/>
    <ds:schemaRef ds:uri="http://schemas.microsoft.com/office/infopath/2007/PartnerControls"/>
    <ds:schemaRef ds:uri="f606e941-3824-4ef1-b515-fe2080f4379d"/>
    <ds:schemaRef ds:uri="0ce017d3-1494-4201-9a02-4f3900890ef5"/>
  </ds:schemaRefs>
</ds:datastoreItem>
</file>

<file path=customXml/itemProps2.xml><?xml version="1.0" encoding="utf-8"?>
<ds:datastoreItem xmlns:ds="http://schemas.openxmlformats.org/officeDocument/2006/customXml" ds:itemID="{DE9C2410-3696-4985-BE94-F588DA70036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479A25F-2EB4-47EB-9959-4743AAAC94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606e941-3824-4ef1-b515-fe2080f4379d"/>
    <ds:schemaRef ds:uri="0ce017d3-1494-4201-9a02-4f3900890ef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cluster_0_stats</vt:lpstr>
      <vt:lpstr>cluster_0_nationalities</vt:lpstr>
      <vt:lpstr>cluster_1_stats</vt:lpstr>
      <vt:lpstr>cluster_1_nationalities</vt:lpstr>
      <vt:lpstr>cluster_2_stats</vt:lpstr>
      <vt:lpstr>cluster_2_nationalities</vt:lpstr>
      <vt:lpstr>cluster_3_stats</vt:lpstr>
      <vt:lpstr>cluster_3_nationalities</vt:lpstr>
      <vt:lpstr>cluster_4_stats</vt:lpstr>
      <vt:lpstr>cluster_4_nationalities</vt:lpstr>
      <vt:lpstr>cluster_5_stats</vt:lpstr>
      <vt:lpstr>cluster_5_nationalities</vt:lpstr>
      <vt:lpstr>cluster_6_stats</vt:lpstr>
      <vt:lpstr>cluster_6_nationalities</vt:lpstr>
      <vt:lpstr>cluster_7_stats</vt:lpstr>
      <vt:lpstr>cluster_7_nationalities</vt:lpstr>
      <vt:lpstr>cluster 6 + 7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Joan Fita</cp:lastModifiedBy>
  <dcterms:created xsi:type="dcterms:W3CDTF">2025-07-15T11:11:57Z</dcterms:created>
  <dcterms:modified xsi:type="dcterms:W3CDTF">2025-07-27T08:22:35Z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0x010100386C7FE9F078E1478EFB042BCE83A9F7</vt:lpwstr>
  </property>
</Properties>
</file>